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ylebailey/Kyron Pty Ltd Dropbox/Kyron Pty Ltd/CLIENTS/CALCIO ITALIANO/SCHEDULE/"/>
    </mc:Choice>
  </mc:AlternateContent>
  <xr:revisionPtr revIDLastSave="0" documentId="13_ncr:1_{3A8EFB6F-45A8-8E43-A388-494F003133F5}" xr6:coauthVersionLast="47" xr6:coauthVersionMax="47" xr10:uidLastSave="{00000000-0000-0000-0000-000000000000}"/>
  <bookViews>
    <workbookView xWindow="36020" yWindow="600" windowWidth="34940" windowHeight="18980" firstSheet="1" activeTab="6" xr2:uid="{00000000-000D-0000-FFFF-FFFF00000000}"/>
  </bookViews>
  <sheets>
    <sheet name="CONTACTS BILLING" sheetId="1" r:id="rId1"/>
    <sheet name="CHECKLIST" sheetId="2" r:id="rId2"/>
    <sheet name="POWER" sheetId="17" r:id="rId3"/>
    <sheet name="ESTIMATE" sheetId="13" r:id="rId4"/>
    <sheet name="CREW SCHEDULE" sheetId="15" r:id="rId5"/>
    <sheet name="MGMT SCHEDULE" sheetId="16" r:id="rId6"/>
    <sheet name="BUDGET" sheetId="3" r:id="rId7"/>
    <sheet name="TOPLINE SCHEDULE" sheetId="14" r:id="rId8"/>
    <sheet name="MASTER SCHEDULE" sheetId="4" r:id="rId9"/>
    <sheet name="PRODUCTION SCHEDULE" sheetId="5" r:id="rId10"/>
    <sheet name="TRANSPORT SCHEDULE" sheetId="6" r:id="rId11"/>
    <sheet name="MAJOR STRUCTURES" sheetId="7" r:id="rId12"/>
    <sheet name="FENCING" sheetId="8" r:id="rId13"/>
    <sheet name="FURNITURE DISTRO" sheetId="9" r:id="rId14"/>
    <sheet name="TOILET RATIO CALC" sheetId="10" r:id="rId15"/>
    <sheet name="SITE MAP" sheetId="11" r:id="rId16"/>
    <sheet name="Criteria" sheetId="12" r:id="rId17"/>
  </sheets>
  <definedNames>
    <definedName name="_xlnm.Print_Area" localSheetId="3">ESTIMATE!$A$1:$C$41</definedName>
    <definedName name="TYPE" localSheetId="16">Criteria!$A$9:$A$18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3" l="1"/>
  <c r="E31" i="13"/>
  <c r="E22" i="13"/>
  <c r="J5" i="13"/>
  <c r="C20" i="13"/>
  <c r="M3" i="15"/>
  <c r="C19" i="13"/>
  <c r="L3" i="15"/>
  <c r="G64" i="15"/>
  <c r="E12" i="13"/>
  <c r="F7" i="13"/>
  <c r="F6" i="13"/>
  <c r="F3" i="13"/>
  <c r="D47" i="3"/>
  <c r="D46" i="3"/>
  <c r="D45" i="3"/>
  <c r="D44" i="3"/>
  <c r="D11" i="3"/>
  <c r="D6" i="3"/>
  <c r="D55" i="3"/>
  <c r="D66" i="3"/>
  <c r="D53" i="3"/>
  <c r="D52" i="3"/>
  <c r="D25" i="3"/>
  <c r="D26" i="3"/>
  <c r="D24" i="3"/>
  <c r="D23" i="3"/>
  <c r="D22" i="3"/>
  <c r="F10" i="8"/>
  <c r="C12" i="13"/>
  <c r="C31" i="13"/>
  <c r="D17" i="13"/>
  <c r="J3" i="13"/>
  <c r="D92" i="16"/>
  <c r="D83" i="16"/>
  <c r="D74" i="16"/>
  <c r="D65" i="16"/>
  <c r="D56" i="16"/>
  <c r="D19" i="16"/>
  <c r="D10" i="16"/>
  <c r="H47" i="16"/>
  <c r="H37" i="16"/>
  <c r="H28" i="16"/>
  <c r="G77" i="15"/>
  <c r="G69" i="15"/>
  <c r="G84" i="15"/>
  <c r="G83" i="15"/>
  <c r="G82" i="15"/>
  <c r="G81" i="15"/>
  <c r="G76" i="15"/>
  <c r="G75" i="15"/>
  <c r="G74" i="15"/>
  <c r="G73" i="15"/>
  <c r="G68" i="15"/>
  <c r="G48" i="15"/>
  <c r="G63" i="15"/>
  <c r="G62" i="15"/>
  <c r="G61" i="15"/>
  <c r="G60" i="15"/>
  <c r="G59" i="15"/>
  <c r="G55" i="15"/>
  <c r="G54" i="15"/>
  <c r="G53" i="15"/>
  <c r="G52" i="15"/>
  <c r="G51" i="15"/>
  <c r="G36" i="15"/>
  <c r="G41" i="15"/>
  <c r="G42" i="15"/>
  <c r="G46" i="15"/>
  <c r="G39" i="15"/>
  <c r="G38" i="15"/>
  <c r="G37" i="15"/>
  <c r="G32" i="15"/>
  <c r="G31" i="15"/>
  <c r="G30" i="15"/>
  <c r="G29" i="15"/>
  <c r="G28" i="15"/>
  <c r="G24" i="15"/>
  <c r="G23" i="15"/>
  <c r="G22" i="15"/>
  <c r="G21" i="15"/>
  <c r="G20" i="15"/>
  <c r="G13" i="15"/>
  <c r="G12" i="15"/>
  <c r="G6" i="15"/>
  <c r="G5" i="15"/>
  <c r="G4" i="15"/>
  <c r="AD33" i="2"/>
  <c r="D37" i="13"/>
  <c r="F7" i="10"/>
  <c r="C7" i="10"/>
  <c r="F6" i="10"/>
  <c r="C6" i="10"/>
  <c r="F5" i="10"/>
  <c r="C5" i="10"/>
  <c r="F4" i="10"/>
  <c r="F8" i="10" s="1"/>
  <c r="F10" i="10" s="1"/>
  <c r="C4" i="10"/>
  <c r="L11" i="9"/>
  <c r="K11" i="9"/>
  <c r="J11" i="9"/>
  <c r="I11" i="9"/>
  <c r="H11" i="9"/>
  <c r="G11" i="9"/>
  <c r="F11" i="9"/>
  <c r="E11" i="9"/>
  <c r="D11" i="9"/>
  <c r="C11" i="9"/>
  <c r="B11" i="9"/>
  <c r="E34" i="8"/>
  <c r="D34" i="8"/>
  <c r="D33" i="8"/>
  <c r="E33" i="8" s="1"/>
  <c r="D32" i="8"/>
  <c r="E32" i="8" s="1"/>
  <c r="D31" i="8"/>
  <c r="E31" i="8" s="1"/>
  <c r="D30" i="8"/>
  <c r="E30" i="8" s="1"/>
  <c r="D29" i="8"/>
  <c r="E29" i="8" s="1"/>
  <c r="E26" i="8"/>
  <c r="D26" i="8"/>
  <c r="D25" i="8"/>
  <c r="E25" i="8" s="1"/>
  <c r="D24" i="8"/>
  <c r="E24" i="8" s="1"/>
  <c r="D23" i="8"/>
  <c r="E23" i="8" s="1"/>
  <c r="D22" i="8"/>
  <c r="E22" i="8" s="1"/>
  <c r="D21" i="8"/>
  <c r="E21" i="8" s="1"/>
  <c r="E18" i="8"/>
  <c r="D18" i="8"/>
  <c r="D17" i="8"/>
  <c r="E17" i="8" s="1"/>
  <c r="D16" i="8"/>
  <c r="E16" i="8" s="1"/>
  <c r="D15" i="8"/>
  <c r="E15" i="8" s="1"/>
  <c r="D14" i="8"/>
  <c r="E14" i="8" s="1"/>
  <c r="D13" i="8"/>
  <c r="E13" i="8" s="1"/>
  <c r="D10" i="8"/>
  <c r="D9" i="8"/>
  <c r="E9" i="8" s="1"/>
  <c r="D7" i="8"/>
  <c r="E7" i="8" s="1"/>
  <c r="D6" i="8"/>
  <c r="E6" i="8" s="1"/>
  <c r="D5" i="8"/>
  <c r="E5" i="8" s="1"/>
  <c r="D4" i="8"/>
  <c r="E4" i="8" s="1"/>
  <c r="A10" i="5"/>
  <c r="A18" i="5" s="1"/>
  <c r="A26" i="5" s="1"/>
  <c r="A34" i="5" s="1"/>
  <c r="A42" i="5" s="1"/>
  <c r="A19" i="4"/>
  <c r="A23" i="4" s="1"/>
  <c r="A32" i="4" s="1"/>
  <c r="E92" i="3"/>
  <c r="D92" i="3"/>
  <c r="E85" i="3"/>
  <c r="D85" i="3"/>
  <c r="E78" i="3"/>
  <c r="D78" i="3"/>
  <c r="E71" i="3"/>
  <c r="D71" i="3"/>
  <c r="E64" i="3"/>
  <c r="D64" i="3"/>
  <c r="E57" i="3"/>
  <c r="D57" i="3"/>
  <c r="E50" i="3"/>
  <c r="D50" i="3"/>
  <c r="E42" i="3"/>
  <c r="D42" i="3"/>
  <c r="E35" i="3"/>
  <c r="D35" i="3"/>
  <c r="E28" i="3"/>
  <c r="E20" i="3"/>
  <c r="D20" i="3"/>
  <c r="E13" i="3"/>
  <c r="D13" i="3"/>
  <c r="K3" i="15" l="1" a="1"/>
  <c r="E39" i="13"/>
  <c r="E41" i="13" s="1"/>
  <c r="F12" i="13"/>
  <c r="L5" i="13"/>
  <c r="L23" i="15"/>
  <c r="D19" i="13"/>
  <c r="J3" i="15"/>
  <c r="J10" i="15" s="1"/>
  <c r="D18" i="13" s="1"/>
  <c r="D28" i="3"/>
  <c r="E10" i="8"/>
  <c r="C38" i="13"/>
  <c r="E93" i="3"/>
  <c r="H92" i="16"/>
  <c r="H83" i="16"/>
  <c r="H74" i="16"/>
  <c r="H65" i="16"/>
  <c r="H56" i="16"/>
  <c r="H19" i="16"/>
  <c r="H10" i="16"/>
  <c r="G9" i="15"/>
  <c r="G70" i="15"/>
  <c r="G78" i="15"/>
  <c r="G85" i="15"/>
  <c r="G56" i="15"/>
  <c r="G17" i="15"/>
  <c r="G25" i="15"/>
  <c r="G33" i="15"/>
  <c r="G43" i="15"/>
  <c r="A40" i="4"/>
  <c r="A62" i="4" s="1"/>
  <c r="A78" i="4" s="1"/>
  <c r="A102" i="4" s="1"/>
  <c r="A113" i="4" s="1"/>
  <c r="A119" i="4" s="1"/>
  <c r="A127" i="4" s="1"/>
  <c r="A135" i="4" s="1"/>
  <c r="A143" i="4" s="1"/>
  <c r="A151" i="4" s="1"/>
  <c r="D38" i="13"/>
  <c r="C8" i="10"/>
  <c r="C10" i="10" s="1"/>
  <c r="K3" i="15" l="1"/>
  <c r="C21" i="13" s="1"/>
  <c r="L6" i="13"/>
  <c r="D20" i="13"/>
  <c r="D93" i="3"/>
  <c r="G86" i="15"/>
  <c r="D31" i="13"/>
  <c r="D12" i="13"/>
  <c r="K3" i="13" l="1"/>
  <c r="C22" i="13"/>
  <c r="C39" i="13" s="1"/>
  <c r="L7" i="13"/>
  <c r="D22" i="13"/>
  <c r="G87" i="15"/>
  <c r="C40" i="13" l="1"/>
  <c r="C41" i="13"/>
  <c r="G88" i="15"/>
  <c r="L3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<sst xmlns="http://schemas.openxmlformats.org/spreadsheetml/2006/main" count="1520" uniqueCount="638">
  <si>
    <t>KEY CONTACTS</t>
  </si>
  <si>
    <t>POSITION / ROLL</t>
  </si>
  <si>
    <t>NAME</t>
  </si>
  <si>
    <t>COMPANY</t>
  </si>
  <si>
    <t>MOBILE</t>
  </si>
  <si>
    <t>EMAIL</t>
  </si>
  <si>
    <t>BILLING DETAILS</t>
  </si>
  <si>
    <t>Name:</t>
  </si>
  <si>
    <t>Company:</t>
  </si>
  <si>
    <t>Postal:</t>
  </si>
  <si>
    <t>Address:</t>
  </si>
  <si>
    <t>ABN:</t>
  </si>
  <si>
    <t>ITEM (EXPENSES)</t>
  </si>
  <si>
    <t>DETAILS</t>
  </si>
  <si>
    <t>SUPPLIER</t>
  </si>
  <si>
    <t>RESPONSIBLE</t>
  </si>
  <si>
    <t>RFQ SENT</t>
  </si>
  <si>
    <t>BOOKED</t>
  </si>
  <si>
    <t>PAID</t>
  </si>
  <si>
    <t>PORTABLES (BUILDINGS)</t>
  </si>
  <si>
    <t>TOILETS</t>
  </si>
  <si>
    <t>FENCING</t>
  </si>
  <si>
    <t>STRUCTURES</t>
  </si>
  <si>
    <t>MACHINERY</t>
  </si>
  <si>
    <t>SITE FURNITURE</t>
  </si>
  <si>
    <t>SAFETY</t>
  </si>
  <si>
    <t>POWER</t>
  </si>
  <si>
    <t>RESPONSIBLE: KYRON PTY LTD </t>
  </si>
  <si>
    <t xml:space="preserve">ITEM </t>
  </si>
  <si>
    <t>INSURANCE</t>
  </si>
  <si>
    <t>ACTUAL ($) inc GST</t>
  </si>
  <si>
    <t>APPROVED</t>
  </si>
  <si>
    <t>NOTES</t>
  </si>
  <si>
    <t>TOTAL</t>
  </si>
  <si>
    <t>PORTABLES</t>
  </si>
  <si>
    <t>MISCELANEOUS</t>
  </si>
  <si>
    <t>SITE TOTAL</t>
  </si>
  <si>
    <t>BUILD SCHEDULE</t>
  </si>
  <si>
    <t>START</t>
  </si>
  <si>
    <t>FINISH</t>
  </si>
  <si>
    <t>TYPE</t>
  </si>
  <si>
    <t>ACTION</t>
  </si>
  <si>
    <t>LOCATION</t>
  </si>
  <si>
    <t>SITE POINT OF CONTACT</t>
  </si>
  <si>
    <t>COMPLETED</t>
  </si>
  <si>
    <t>ON-SITE</t>
  </si>
  <si>
    <t>KYRON</t>
  </si>
  <si>
    <t>Site Manager Onsite (Markout stage/site infrastructure)</t>
  </si>
  <si>
    <t>PERSON 1</t>
  </si>
  <si>
    <t>ESM</t>
  </si>
  <si>
    <t>Traffic control onsite (Camfield dr site entry)</t>
  </si>
  <si>
    <t>DELIVERY</t>
  </si>
  <si>
    <t>CBWA</t>
  </si>
  <si>
    <t>INSTALL</t>
  </si>
  <si>
    <t>SECURITY</t>
  </si>
  <si>
    <t>ACE SECURITY</t>
  </si>
  <si>
    <t>Compound Secured overnight</t>
  </si>
  <si>
    <t>3x Site Crew onsite</t>
  </si>
  <si>
    <t>SHOWDAY</t>
  </si>
  <si>
    <t>SHOW TIME</t>
  </si>
  <si>
    <t>BUMP OUT</t>
  </si>
  <si>
    <t>COLLECTION</t>
  </si>
  <si>
    <t>PRODUCTION SCHEDULE</t>
  </si>
  <si>
    <t>ACTIVITY</t>
  </si>
  <si>
    <t xml:space="preserve">FINISH </t>
  </si>
  <si>
    <t>TRANSPORT SCHEDULE</t>
  </si>
  <si>
    <t>IN-COMING</t>
  </si>
  <si>
    <t>DATE</t>
  </si>
  <si>
    <t>TIME</t>
  </si>
  <si>
    <t>ITEM</t>
  </si>
  <si>
    <t xml:space="preserve">FROM </t>
  </si>
  <si>
    <t>TRUCK TYPE</t>
  </si>
  <si>
    <t>DOORS FACING</t>
  </si>
  <si>
    <t>GATE ENTRY</t>
  </si>
  <si>
    <t>CONTACT PERSON</t>
  </si>
  <si>
    <t>OUT-GOING</t>
  </si>
  <si>
    <t>MARQUEES</t>
  </si>
  <si>
    <t>MARQUEE NAME</t>
  </si>
  <si>
    <t>SIZE</t>
  </si>
  <si>
    <t>PEGGED</t>
  </si>
  <si>
    <t>WEIGHTED</t>
  </si>
  <si>
    <t>LIGHTING</t>
  </si>
  <si>
    <t>WALLS</t>
  </si>
  <si>
    <t>DOCS RECIEVED</t>
  </si>
  <si>
    <t>LINK</t>
  </si>
  <si>
    <t>ENGINEER SIGN-OFF</t>
  </si>
  <si>
    <t>LENGTH</t>
  </si>
  <si>
    <t>WIDTH</t>
  </si>
  <si>
    <t>OTHER</t>
  </si>
  <si>
    <t>STRUCTURE NAME</t>
  </si>
  <si>
    <t>1.8M TEMPORARY FENCING</t>
  </si>
  <si>
    <t>MITIGATION</t>
  </si>
  <si>
    <t>CCB (CROWD CONTROL BARRIER)</t>
  </si>
  <si>
    <t>PUNTER BARRIER</t>
  </si>
  <si>
    <t>WHITE PICKET</t>
  </si>
  <si>
    <t>FURNITURE DISTRO</t>
  </si>
  <si>
    <t>CHAIRS</t>
  </si>
  <si>
    <t>TABLES</t>
  </si>
  <si>
    <t>COUCH</t>
  </si>
  <si>
    <t>FRIDGE</t>
  </si>
  <si>
    <t>ICE TUB</t>
  </si>
  <si>
    <t>FANS</t>
  </si>
  <si>
    <t>BUBBLER</t>
  </si>
  <si>
    <t>LINEN</t>
  </si>
  <si>
    <t>COAT RACK</t>
  </si>
  <si>
    <t>MIRROR</t>
  </si>
  <si>
    <t>1.8M</t>
  </si>
  <si>
    <t>2.4M</t>
  </si>
  <si>
    <t>SPARE</t>
  </si>
  <si>
    <t>TOILET RATIO CALCULATOR</t>
  </si>
  <si>
    <t>GENERAL AREA</t>
  </si>
  <si>
    <t>VIP AREA</t>
  </si>
  <si>
    <t>QUANTITY</t>
  </si>
  <si>
    <t>PANS</t>
  </si>
  <si>
    <t>16 PAN BLOCK</t>
  </si>
  <si>
    <t>URINAL BLOCK</t>
  </si>
  <si>
    <t>SINGLE CHEM</t>
  </si>
  <si>
    <t>ACROD</t>
  </si>
  <si>
    <t>TOTAL PANS</t>
  </si>
  <si>
    <t>CAPACITY</t>
  </si>
  <si>
    <t>TOILET RATIO</t>
  </si>
  <si>
    <t>SITE MAP</t>
  </si>
  <si>
    <t>VERSION</t>
  </si>
  <si>
    <t>DROP OFF</t>
  </si>
  <si>
    <t>PICK UP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</si>
  <si>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</si>
  <si>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</si>
  <si>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</si>
  <si>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</si>
  <si>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</si>
  <si>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</si>
  <si>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</si>
  <si>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</si>
  <si>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</si>
  <si>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</si>
  <si>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</si>
  <si>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</si>
  <si>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</si>
  <si>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</si>
  <si>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</si>
  <si>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</si>
  <si>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ROBIAN</t>
  </si>
  <si>
    <t>HOKKER</t>
  </si>
  <si>
    <t>FLAT BED</t>
  </si>
  <si>
    <t>HIAB</t>
  </si>
  <si>
    <t>TILT TRAY</t>
  </si>
  <si>
    <t>SIDELOADER</t>
  </si>
  <si>
    <t>CAB</t>
  </si>
  <si>
    <t>REAR</t>
  </si>
  <si>
    <t>PASSENGER</t>
  </si>
  <si>
    <t>DRIVER</t>
  </si>
  <si>
    <t>DRY HIRE</t>
  </si>
  <si>
    <t>A</t>
  </si>
  <si>
    <t>RATIO</t>
  </si>
  <si>
    <t>SET RATIO</t>
  </si>
  <si>
    <t>EXPENDITURE BUDGET</t>
  </si>
  <si>
    <t xml:space="preserve">APPROVER: </t>
  </si>
  <si>
    <t>Infrastructure</t>
  </si>
  <si>
    <t>Estimate</t>
  </si>
  <si>
    <t>LX / Festoon</t>
  </si>
  <si>
    <t>Generators / Power Distro</t>
  </si>
  <si>
    <t>Operations / Logistics (inc Staffing)</t>
  </si>
  <si>
    <t>HOURS</t>
  </si>
  <si>
    <t>Project Manager</t>
  </si>
  <si>
    <t>N/A</t>
  </si>
  <si>
    <t>Operations Manager</t>
  </si>
  <si>
    <t>Admin/Account Manager</t>
  </si>
  <si>
    <t>Site Manager</t>
  </si>
  <si>
    <t>Forklift Operater</t>
  </si>
  <si>
    <t>EWP Operater</t>
  </si>
  <si>
    <t>Site Crew</t>
  </si>
  <si>
    <t>Staging / AV</t>
  </si>
  <si>
    <t xml:space="preserve">Estimate $ </t>
  </si>
  <si>
    <t>Stage (9m x 7m)</t>
  </si>
  <si>
    <t>AV</t>
  </si>
  <si>
    <t>Production Manager</t>
  </si>
  <si>
    <t>Stage Manager</t>
  </si>
  <si>
    <t>AV Labour</t>
  </si>
  <si>
    <t>Truss Arches</t>
  </si>
  <si>
    <t>Programming / Performers</t>
  </si>
  <si>
    <t xml:space="preserve">$ </t>
  </si>
  <si>
    <t>Roving Performers</t>
  </si>
  <si>
    <t>Stage/ DJ Performers</t>
  </si>
  <si>
    <t>Face painters/ artists</t>
  </si>
  <si>
    <t>Fireworks</t>
  </si>
  <si>
    <t>OPERATIONS &amp; LOGISTICS</t>
  </si>
  <si>
    <t>1.8m Fence</t>
  </si>
  <si>
    <t>Marquee (3m x 3m)</t>
  </si>
  <si>
    <t>20x Red, green and white (Carlisle)</t>
  </si>
  <si>
    <t>Marquees (6m x 3m)</t>
  </si>
  <si>
    <t>Gable facing out (MERCH tents)</t>
  </si>
  <si>
    <t>Venue to provide (Quay Clean)</t>
  </si>
  <si>
    <t>Create Waste Management Plan to give to VL</t>
  </si>
  <si>
    <t>PICNIC TABLES</t>
  </si>
  <si>
    <t>ROUND CAFÉ TABLES</t>
  </si>
  <si>
    <t>CAFÉ CHAIRS</t>
  </si>
  <si>
    <t>3m x 3m Marquee</t>
  </si>
  <si>
    <t>Wine Barrels</t>
  </si>
  <si>
    <t>Bunting</t>
  </si>
  <si>
    <t>300m</t>
  </si>
  <si>
    <t>Terratrak</t>
  </si>
  <si>
    <t>30pcs</t>
  </si>
  <si>
    <t>Truss Arch (6m)</t>
  </si>
  <si>
    <t>Truss Arch (4m)</t>
  </si>
  <si>
    <t>Ballast</t>
  </si>
  <si>
    <t>2 Pallets</t>
  </si>
  <si>
    <t>White Picket Fence</t>
  </si>
  <si>
    <t>250m</t>
  </si>
  <si>
    <t>CCB</t>
  </si>
  <si>
    <t>200m</t>
  </si>
  <si>
    <t>Popcorn Machine</t>
  </si>
  <si>
    <t>Awnings (5m)</t>
  </si>
  <si>
    <t>Awnings (4m)</t>
  </si>
  <si>
    <t>Trailer Stage (9m x 7m)</t>
  </si>
  <si>
    <t>Generator (60KVA)</t>
  </si>
  <si>
    <t>Generator (80KVA)</t>
  </si>
  <si>
    <t>Generator (7KVA)</t>
  </si>
  <si>
    <t>Generator (150KVA) * Stage</t>
  </si>
  <si>
    <t>Festoon</t>
  </si>
  <si>
    <t>Lighting  Tower</t>
  </si>
  <si>
    <t>VMS Board</t>
  </si>
  <si>
    <t>Greenery décor</t>
  </si>
  <si>
    <t>Site Office (20ft)</t>
  </si>
  <si>
    <t>Ticket box (20ft)</t>
  </si>
  <si>
    <t>Container Bar (20ft)</t>
  </si>
  <si>
    <t>Portaloos</t>
  </si>
  <si>
    <t>Pumptruck &amp; clean required after each night</t>
  </si>
  <si>
    <t>ADA Portaloos</t>
  </si>
  <si>
    <t>Coolroom</t>
  </si>
  <si>
    <t>Scaffold Tower</t>
  </si>
  <si>
    <t>1.8m Trestles</t>
  </si>
  <si>
    <t>2.4m Trestles</t>
  </si>
  <si>
    <t>White Pippee chairs</t>
  </si>
  <si>
    <t>Checkered tablecoth</t>
  </si>
  <si>
    <t>Fire Extinguishers</t>
  </si>
  <si>
    <t>Hard Stand Forklift</t>
  </si>
  <si>
    <t>Telehandler 2.5t Grass Terrain</t>
  </si>
  <si>
    <t>10d Scissor</t>
  </si>
  <si>
    <t xml:space="preserve">Trakmatt </t>
  </si>
  <si>
    <t>50pcs</t>
  </si>
  <si>
    <t>Event Application</t>
  </si>
  <si>
    <t>Event Management Plan</t>
  </si>
  <si>
    <t>Risk Management Plan</t>
  </si>
  <si>
    <t>Site Map</t>
  </si>
  <si>
    <t>Key Contacts List</t>
  </si>
  <si>
    <t>Liquor Licence</t>
  </si>
  <si>
    <t>Major Structures List / Engineering Sign-off</t>
  </si>
  <si>
    <t>Portaloos (see toilet calculator)</t>
  </si>
  <si>
    <t>BOH Portaloos</t>
  </si>
  <si>
    <t>20ft Site Office</t>
  </si>
  <si>
    <t>20ft Bar container</t>
  </si>
  <si>
    <t>Bollard &amp; Rope</t>
  </si>
  <si>
    <t>Punter Barrier</t>
  </si>
  <si>
    <t>Pippee Chairs</t>
  </si>
  <si>
    <t>Plants &amp; Greenery</t>
  </si>
  <si>
    <t>Awnings</t>
  </si>
  <si>
    <t>SWMS / INSURANCES</t>
  </si>
  <si>
    <t>SAFETY OFFICER</t>
  </si>
  <si>
    <t>JSA</t>
  </si>
  <si>
    <t>EMERGENCY EVAC KIT</t>
  </si>
  <si>
    <t>10D SCISSOR</t>
  </si>
  <si>
    <t>GENERATORS</t>
  </si>
  <si>
    <t>ELECTRICIANS</t>
  </si>
  <si>
    <t>DISTRO</t>
  </si>
  <si>
    <t>FESTOON</t>
  </si>
  <si>
    <t>CABLE TRAP</t>
  </si>
  <si>
    <t>SITE LX</t>
  </si>
  <si>
    <t>TRAY BACK UTE</t>
  </si>
  <si>
    <t>Trakmatt</t>
  </si>
  <si>
    <t>SITE &amp; TURF MITIGATION</t>
  </si>
  <si>
    <t>Scaffold centre structure</t>
  </si>
  <si>
    <t>Stage</t>
  </si>
  <si>
    <t>PRODUCTION &amp; AV</t>
  </si>
  <si>
    <t>Audio</t>
  </si>
  <si>
    <t>Video</t>
  </si>
  <si>
    <t>Lighting</t>
  </si>
  <si>
    <t>Production Labour</t>
  </si>
  <si>
    <t>Truss</t>
  </si>
  <si>
    <t>Generator (60KVA)	2
Generator (80KVA)	1
Generator (7KVA)	6
Generator (150KVA) * Stage	1</t>
  </si>
  <si>
    <t>WASTE</t>
  </si>
  <si>
    <t>Cleaners</t>
  </si>
  <si>
    <t>Sulos (FOH)</t>
  </si>
  <si>
    <t>CoC</t>
  </si>
  <si>
    <t>660L Sulos BOH</t>
  </si>
  <si>
    <t>Picnic Tables</t>
  </si>
  <si>
    <t>Round coffee tables</t>
  </si>
  <si>
    <t>Café Chairs</t>
  </si>
  <si>
    <t>Checkered Tablecloths</t>
  </si>
  <si>
    <t>Electrical Form 5</t>
  </si>
  <si>
    <t>150x</t>
  </si>
  <si>
    <t>2x Lighting Towers</t>
  </si>
  <si>
    <t>Scrim (Branded)</t>
  </si>
  <si>
    <t>4x 6m(W) x 3m (H) Truss Arch
2x 4m (W) x 3m (H) Truss Arch</t>
  </si>
  <si>
    <t>4 Days</t>
  </si>
  <si>
    <t>40sqm</t>
  </si>
  <si>
    <t>2 Pallets blocks. + 12x 500kg concrete blocks</t>
  </si>
  <si>
    <t>See Crew Schedule</t>
  </si>
  <si>
    <t>9m x 7m Trailer Stage</t>
  </si>
  <si>
    <t>Up Down Events</t>
  </si>
  <si>
    <t>Seek quotes (Stageset / Ezy Access)</t>
  </si>
  <si>
    <t>30m (stage front &amp; large ball)</t>
  </si>
  <si>
    <t>Electricians to provide</t>
  </si>
  <si>
    <t>Stage, Marquees, structures, WA Structural, Engineering Specs, Insurances</t>
  </si>
  <si>
    <t>VL &amp; MIZZICA</t>
  </si>
  <si>
    <t>REV 2 - Draft completed</t>
  </si>
  <si>
    <t>TO DO</t>
  </si>
  <si>
    <t>REQUIRED?</t>
  </si>
  <si>
    <t xml:space="preserve">PERTH HIRE SHOP </t>
  </si>
  <si>
    <t>KYRON OFFICE</t>
  </si>
  <si>
    <t>CR</t>
  </si>
  <si>
    <t>Safety Signage, Bunting Kit</t>
  </si>
  <si>
    <t>PERTH HIRE SHOP</t>
  </si>
  <si>
    <t>Build Schedule</t>
  </si>
  <si>
    <t>Production Schedule</t>
  </si>
  <si>
    <t>Transport Schedule</t>
  </si>
  <si>
    <t>Furniture Distro</t>
  </si>
  <si>
    <t>ASSET PROTECTION</t>
  </si>
  <si>
    <t>Create Asset security schedule to provide to VL</t>
  </si>
  <si>
    <t>Create security schedule in accordance with Liquor Licencing and Areas</t>
  </si>
  <si>
    <t>MEDICAL</t>
  </si>
  <si>
    <t>FIRST AID</t>
  </si>
  <si>
    <t>FIRST AID Schedule to provide to VL</t>
  </si>
  <si>
    <t>FIRST AID POST</t>
  </si>
  <si>
    <t>Confirm structure requirements for First Aid (3m x 3m or 6m x 3m)</t>
  </si>
  <si>
    <t>50x trakmatt</t>
  </si>
  <si>
    <t>40x Terratrak</t>
  </si>
  <si>
    <t>Site Water Delivered</t>
  </si>
  <si>
    <t>Pack Site Tool Chest at Warehouse &gt; Deliver to Site</t>
  </si>
  <si>
    <t>STAGING / AV</t>
  </si>
  <si>
    <t>MARQUEES / STRUCTURES</t>
  </si>
  <si>
    <t>OPERATIONS (inc Staff)</t>
  </si>
  <si>
    <t>QUOTE (link)</t>
  </si>
  <si>
    <t>VL</t>
  </si>
  <si>
    <t>EVENT FLOORING WA</t>
  </si>
  <si>
    <t>Safety Officer Onsite</t>
  </si>
  <si>
    <t>EVENT DAY 1</t>
  </si>
  <si>
    <t>EVENT DAY 2</t>
  </si>
  <si>
    <t>THEMING / DÉCOR</t>
  </si>
  <si>
    <t>FURNITURE (SITE / PATRON)</t>
  </si>
  <si>
    <t>MAJOR STRUCTURES - CALSIO ITALIANO 2026</t>
  </si>
  <si>
    <t>Sponsor &amp; Festival Lead</t>
  </si>
  <si>
    <t>Tyler Hutchinson</t>
  </si>
  <si>
    <t>Tourism WA</t>
  </si>
  <si>
    <t>Optus Stadium</t>
  </si>
  <si>
    <t>Greg Sleigh
Gemma Felton
Wendy Quinn
Bec Coxall</t>
  </si>
  <si>
    <t>Venue &amp; event promoter</t>
  </si>
  <si>
    <t>Perth Italian Festival</t>
  </si>
  <si>
    <t>Frank Miranda</t>
  </si>
  <si>
    <t>Coordination &amp; programming</t>
  </si>
  <si>
    <t>Consultation &amp; community engagement</t>
  </si>
  <si>
    <t>Sal Vallelonga</t>
  </si>
  <si>
    <t>CITS</t>
  </si>
  <si>
    <t>Event facilitation &amp; project working group</t>
  </si>
  <si>
    <t>Jo Metcalf
Carol Hodgen</t>
  </si>
  <si>
    <t>CaLD participation &amp; engagement</t>
  </si>
  <si>
    <t>Kate Rowlands</t>
  </si>
  <si>
    <t>Office of Multicultural Interests</t>
  </si>
  <si>
    <t>Festival operations &amp; logistics</t>
  </si>
  <si>
    <t>Kyle Bailey</t>
  </si>
  <si>
    <t>Kyron Events</t>
  </si>
  <si>
    <t>OPERATIONS / LOGISTICS / INFRASTRUCTURE CHECKLIST</t>
  </si>
  <si>
    <t>Wednesday</t>
  </si>
  <si>
    <t>Thursday</t>
  </si>
  <si>
    <t>Friday</t>
  </si>
  <si>
    <t>Saturday</t>
  </si>
  <si>
    <t>Sunday </t>
  </si>
  <si>
    <t>Monday</t>
  </si>
  <si>
    <t>Tuesday</t>
  </si>
  <si>
    <t>Sunday</t>
  </si>
  <si>
    <t>Gates: 5.30pm</t>
  </si>
  <si>
    <t>KO: 7.00pm</t>
  </si>
  <si>
    <t>AC MILAN V INTER</t>
  </si>
  <si>
    <t>FESTIVAL COMMENCES</t>
  </si>
  <si>
    <t>3:30pm</t>
  </si>
  <si>
    <t>EVENT OPS TEAM ONSITE</t>
  </si>
  <si>
    <t>7:00am</t>
  </si>
  <si>
    <t>SITE MARK OUT</t>
  </si>
  <si>
    <t>8:00am</t>
  </si>
  <si>
    <t xml:space="preserve">SITE MANAGER ONSITE </t>
  </si>
  <si>
    <t>See MGMT Schedule</t>
  </si>
  <si>
    <t>See Site Crew Schedule</t>
  </si>
  <si>
    <t>ONSITE DELIVERY</t>
  </si>
  <si>
    <t>MGMT DELIVERY</t>
  </si>
  <si>
    <t>Programming</t>
  </si>
  <si>
    <t>GST</t>
  </si>
  <si>
    <t>OPERATIONS / LOGISTICS</t>
  </si>
  <si>
    <t>SITE MANAGEMENT / CREW</t>
  </si>
  <si>
    <t>CREW SCHEDULE</t>
  </si>
  <si>
    <t>ROLE</t>
  </si>
  <si>
    <t>SITE MANAGER</t>
  </si>
  <si>
    <t>SITE CREW 1</t>
  </si>
  <si>
    <t>SITE CREW 2</t>
  </si>
  <si>
    <t>Saturday 01/08/26</t>
  </si>
  <si>
    <t>8:00AM</t>
  </si>
  <si>
    <t>4:00PM</t>
  </si>
  <si>
    <t>TOTAL HRS (Inc BREAKS)</t>
  </si>
  <si>
    <t>FORK OP</t>
  </si>
  <si>
    <t>Sunday 02/08/2026</t>
  </si>
  <si>
    <t>TOTAL ($)</t>
  </si>
  <si>
    <t>Monday 03/08/2026</t>
  </si>
  <si>
    <t>Tuesday 04/08/2026</t>
  </si>
  <si>
    <t>Wednesday 05/08/2026</t>
  </si>
  <si>
    <t>Thursday 06/08/2026</t>
  </si>
  <si>
    <t>7:00AM</t>
  </si>
  <si>
    <t>6:00PM</t>
  </si>
  <si>
    <t>5:00PM</t>
  </si>
  <si>
    <t>EWP OP</t>
  </si>
  <si>
    <t>SCHEDULED HRS (Inc BREAKS)</t>
  </si>
  <si>
    <t>DAILY TOTAL ($)</t>
  </si>
  <si>
    <t>SITE MANAGER ($)</t>
  </si>
  <si>
    <t>SITE CREW ($)</t>
  </si>
  <si>
    <t>FORK OPS ($)</t>
  </si>
  <si>
    <t>EWP OPS ($)</t>
  </si>
  <si>
    <t>9:00am</t>
  </si>
  <si>
    <t>3:00pm</t>
  </si>
  <si>
    <t>DOWN DAY</t>
  </si>
  <si>
    <t>Friday 07/08/2026</t>
  </si>
  <si>
    <t>Open Training
Inter &amp; Juventus</t>
  </si>
  <si>
    <t>7:00PM</t>
  </si>
  <si>
    <t>5:30PM</t>
  </si>
  <si>
    <t>9:30PM</t>
  </si>
  <si>
    <t>SITE CREW</t>
  </si>
  <si>
    <t>$ / HR | RATE</t>
  </si>
  <si>
    <t>6:00AM</t>
  </si>
  <si>
    <t>SITE / OPS MANAGER</t>
  </si>
  <si>
    <t>12:00am</t>
  </si>
  <si>
    <t>Saturday 08/08/2026</t>
  </si>
  <si>
    <t xml:space="preserve">AC MILAN VS INTER </t>
  </si>
  <si>
    <t>INTER VS JUVENTUS</t>
  </si>
  <si>
    <t>BUMP-IN</t>
  </si>
  <si>
    <t>Sunday 09/08/2026</t>
  </si>
  <si>
    <t>AFL FOOTBALL GAME (TBC)</t>
  </si>
  <si>
    <t>SITE OPS</t>
  </si>
  <si>
    <t xml:space="preserve">SITE CREW 1 </t>
  </si>
  <si>
    <t>BUMP-OUT</t>
  </si>
  <si>
    <t>Monday 10/08/2026</t>
  </si>
  <si>
    <t>Tuesday 11/08/2026</t>
  </si>
  <si>
    <t>TOTAL (inc GST)</t>
  </si>
  <si>
    <t>$ / ROLE | ACTUALS</t>
  </si>
  <si>
    <t>ACTUALS</t>
  </si>
  <si>
    <t>OPERATIONS / LOGISTICS MGMT</t>
  </si>
  <si>
    <t>TASKS</t>
  </si>
  <si>
    <t>1/6/2026 | WEEK 1</t>
  </si>
  <si>
    <t>HRS</t>
  </si>
  <si>
    <t xml:space="preserve">Weekly Team Meetings </t>
  </si>
  <si>
    <t>Site Map Development</t>
  </si>
  <si>
    <t>Scope Requirements</t>
  </si>
  <si>
    <t>RFQ Suppliers</t>
  </si>
  <si>
    <t>Master Schedule</t>
  </si>
  <si>
    <t>Risk Management Plan 001</t>
  </si>
  <si>
    <t>TOTAL HRS (ESTIMATE)</t>
  </si>
  <si>
    <t>Site Map Revisions</t>
  </si>
  <si>
    <t>Major Structures</t>
  </si>
  <si>
    <t>Budget</t>
  </si>
  <si>
    <t>Risk Management Plan 002</t>
  </si>
  <si>
    <t>EMP 001</t>
  </si>
  <si>
    <t>Admin/Accounts</t>
  </si>
  <si>
    <t>Master Schedule Updates</t>
  </si>
  <si>
    <t>Crew Scheduling / Confirmations</t>
  </si>
  <si>
    <t>General Misc</t>
  </si>
  <si>
    <t>Risk Management Plan 003 | For Review</t>
  </si>
  <si>
    <t>RFQ Suppliers / Insurances</t>
  </si>
  <si>
    <t>Insurance PPL / Vendor Insurances</t>
  </si>
  <si>
    <t>8/6/2026 | WEEK 2</t>
  </si>
  <si>
    <t>15/6/2026 | WEEK 3</t>
  </si>
  <si>
    <t>22/6/2026 | WEEK 4</t>
  </si>
  <si>
    <t>29/6/2026 | WEEK 5</t>
  </si>
  <si>
    <t>05/7/2026 | WEEK 1</t>
  </si>
  <si>
    <t>Waste Management</t>
  </si>
  <si>
    <t>Site Map (Revs)</t>
  </si>
  <si>
    <t>Book Infrastructure Suppliers</t>
  </si>
  <si>
    <t>Staging / AV Suppliers</t>
  </si>
  <si>
    <t>Transport / Logistics Schedule</t>
  </si>
  <si>
    <t>Staffing Schedule confirmed</t>
  </si>
  <si>
    <t>Security / Asset Protection</t>
  </si>
  <si>
    <t>Budget / Review / Final Sign-off</t>
  </si>
  <si>
    <t>Master Schedule Confirmation / Sign-off</t>
  </si>
  <si>
    <t>Confirm Suppliers / Budget Sign-off</t>
  </si>
  <si>
    <t>Scheduling Vendors/Contractors</t>
  </si>
  <si>
    <t>Budget / Review Final</t>
  </si>
  <si>
    <t>First Aid / Medical Sign-off</t>
  </si>
  <si>
    <t>General Misc / SWMS docs</t>
  </si>
  <si>
    <t>Admin/Accounts (1.5hrs) PM (1.5hrs)</t>
  </si>
  <si>
    <t>Ops Manager</t>
  </si>
  <si>
    <t>12/7/2026 | WEEK 1</t>
  </si>
  <si>
    <t>19/7/2026 | WEEK 1</t>
  </si>
  <si>
    <t>26/7/2026 | WEEK 1</t>
  </si>
  <si>
    <t>01/8/2026 | WEEK 1</t>
  </si>
  <si>
    <t>**WORKING ITEMS</t>
  </si>
  <si>
    <t>40x Portaloos</t>
  </si>
  <si>
    <t>2x ADA Portaloos</t>
  </si>
  <si>
    <t>Delivery</t>
  </si>
  <si>
    <t>ITEMS</t>
  </si>
  <si>
    <t>QUOTE 1</t>
  </si>
  <si>
    <t>2.5t Hardstand Forklift</t>
  </si>
  <si>
    <t>2.5t Telehandler (Grass terrain tyres)</t>
  </si>
  <si>
    <t>Trakmatt (50pcs)</t>
  </si>
  <si>
    <t>10D Scissor</t>
  </si>
  <si>
    <t>QUOTE 2</t>
  </si>
  <si>
    <t>MACHINERY / TRAKMATT</t>
  </si>
  <si>
    <t>OPTUS STADIUM</t>
  </si>
  <si>
    <t>FENCING / WHITE PICKET / CCB</t>
  </si>
  <si>
    <t>QUOTE 3</t>
  </si>
  <si>
    <t>RFQ #</t>
  </si>
  <si>
    <t>RFQ-001</t>
  </si>
  <si>
    <t>RFQ-002</t>
  </si>
  <si>
    <t>RFQ-003</t>
  </si>
  <si>
    <t>RFQ REGISTER</t>
  </si>
  <si>
    <t>18x (3m x 3m) Red/green/white marquees</t>
  </si>
  <si>
    <t>2x (6m x 3m) Hoeker P-Series Structure</t>
  </si>
  <si>
    <t>2x (12m x 3m) Hoeker</t>
  </si>
  <si>
    <t>ONSITE</t>
  </si>
  <si>
    <t>PRE / POST</t>
  </si>
  <si>
    <t>Safety Officer (Onsite)</t>
  </si>
  <si>
    <t>Machinery / Fuel</t>
  </si>
  <si>
    <t>Fencing (White Picket, CCB)</t>
  </si>
  <si>
    <t>Cool Rooms / Site Misc</t>
  </si>
  <si>
    <t>Turf Mitigation</t>
  </si>
  <si>
    <t>Portables (Site Office, Ticket Box)</t>
  </si>
  <si>
    <t>Theming / Décor / Signage</t>
  </si>
  <si>
    <t>Marquees / Structures/ Furniture</t>
  </si>
  <si>
    <t>Subtotal</t>
  </si>
  <si>
    <t>ITEM(S)</t>
  </si>
  <si>
    <t>POWER / ELECTRICIANS</t>
  </si>
  <si>
    <t>LOBEL</t>
  </si>
  <si>
    <t>Venueslive</t>
  </si>
  <si>
    <t>Asset Security</t>
  </si>
  <si>
    <t>Asset secuirty overnight</t>
  </si>
  <si>
    <t>OPS COMPOUND</t>
  </si>
  <si>
    <t>STAGE BOH</t>
  </si>
  <si>
    <t>BAR BOH</t>
  </si>
  <si>
    <t>SOUTH OVAL / CAMFIELD</t>
  </si>
  <si>
    <t>LENGTH (M)</t>
  </si>
  <si>
    <t>DOUBLE GATES / WHEELS</t>
  </si>
  <si>
    <t>KYLE BAILEY (KB)</t>
  </si>
  <si>
    <t>FRED (PHS)</t>
  </si>
  <si>
    <t>FRANK M (FM)</t>
  </si>
  <si>
    <t>WENDY (VL)</t>
  </si>
  <si>
    <t>TYLER (TWA)</t>
  </si>
  <si>
    <t>MIZZICA</t>
  </si>
  <si>
    <t>6x Green, 6x Red, 6x White</t>
  </si>
  <si>
    <t>ALL WALLS</t>
  </si>
  <si>
    <t>VENDORS</t>
  </si>
  <si>
    <t>3m</t>
  </si>
  <si>
    <t>PASTA</t>
  </si>
  <si>
    <t>5m</t>
  </si>
  <si>
    <t>MERCH (BRIDGE)</t>
  </si>
  <si>
    <t>12m</t>
  </si>
  <si>
    <t>Power / Electricians</t>
  </si>
  <si>
    <t>Sheldon Lobel</t>
  </si>
  <si>
    <t>Lobel</t>
  </si>
  <si>
    <t>9 Days</t>
  </si>
  <si>
    <t>30x Portaloos</t>
  </si>
  <si>
    <t>2x</t>
  </si>
  <si>
    <t>(TBC)</t>
  </si>
  <si>
    <t>POWER REQUIREMENTS</t>
  </si>
  <si>
    <t>KVA</t>
  </si>
  <si>
    <t>QTY</t>
  </si>
  <si>
    <t>NOTES /LOCATION</t>
  </si>
  <si>
    <t>STAGE</t>
  </si>
  <si>
    <t>BRIDGE</t>
  </si>
  <si>
    <t>n/a</t>
  </si>
  <si>
    <t>ACTIVITIES / SPARES</t>
  </si>
  <si>
    <t>POWER DISTRO / CABLE COVER</t>
  </si>
  <si>
    <t>ELECTRICIANS / PERMITS</t>
  </si>
  <si>
    <t>Fluros</t>
  </si>
  <si>
    <t>Marquee lighting</t>
  </si>
  <si>
    <t>32a</t>
  </si>
  <si>
    <t>OUTLETS</t>
  </si>
  <si>
    <t>QTY REQUIRED</t>
  </si>
  <si>
    <t>Vendors BOH</t>
  </si>
  <si>
    <t>15a</t>
  </si>
  <si>
    <t>10a</t>
  </si>
  <si>
    <t>63a</t>
  </si>
  <si>
    <t xml:space="preserve"> </t>
  </si>
  <si>
    <t xml:space="preserve"> / </t>
  </si>
  <si>
    <t>2.5t ALL TERRAIN FORKLIFT</t>
  </si>
  <si>
    <t>50m</t>
  </si>
  <si>
    <t>HECS Fire &amp; Safety</t>
  </si>
  <si>
    <t>S60</t>
  </si>
  <si>
    <t>CABLETRAP</t>
  </si>
  <si>
    <t>350M</t>
  </si>
  <si>
    <t>LOBEL / MIKTRIK?</t>
  </si>
  <si>
    <t>Install + Form5</t>
  </si>
  <si>
    <t xml:space="preserve">PERTH HIRE </t>
  </si>
  <si>
    <t>CARLISLE / SWAN EVENTS</t>
  </si>
  <si>
    <t>LUX Events / EAVP</t>
  </si>
  <si>
    <t>23kva</t>
  </si>
  <si>
    <t>55kva</t>
  </si>
  <si>
    <t>80kva</t>
  </si>
  <si>
    <t>60kva</t>
  </si>
  <si>
    <t>7kva</t>
  </si>
  <si>
    <t>QUOTE</t>
  </si>
  <si>
    <t>QUOTED ($) ex gst</t>
  </si>
  <si>
    <t>Transport</t>
  </si>
  <si>
    <t>Toilet servicing / pump-out (4)</t>
  </si>
  <si>
    <t>Weekend Callout</t>
  </si>
  <si>
    <t>3t Rough Terrain Forklift (weekly hire)</t>
  </si>
  <si>
    <t>Trakmatt (50x) </t>
  </si>
  <si>
    <t>8.1m Scissor Lift Rough Terrain 2755RT 4x4 27ft </t>
  </si>
  <si>
    <t>Deisel | 100l @ $3.00/l</t>
  </si>
  <si>
    <r>
      <rPr>
        <b/>
        <u/>
        <sz val="12"/>
        <color theme="1"/>
        <rFont val="Verdana"/>
        <family val="2"/>
      </rPr>
      <t xml:space="preserve">GENERATORS </t>
    </r>
    <r>
      <rPr>
        <sz val="12"/>
        <color theme="1"/>
        <rFont val="Verdana"/>
        <family val="2"/>
      </rPr>
      <t xml:space="preserve">
2x 80kva
2x 60kva
2x 55kva
1x 23kva
4x 7kva)</t>
    </r>
  </si>
  <si>
    <t>POWER DISTRO</t>
  </si>
  <si>
    <t>FORM 5 SIGN-OFF</t>
  </si>
  <si>
    <t>Generator Transport</t>
  </si>
  <si>
    <t>SITE LX | FESTOON</t>
  </si>
  <si>
    <t>ELECTRICIANS / LABOUR</t>
  </si>
  <si>
    <t>TBC</t>
  </si>
  <si>
    <t>LX TOWER</t>
  </si>
  <si>
    <r>
      <rPr>
        <b/>
        <sz val="12"/>
        <color theme="1"/>
        <rFont val="Verdana"/>
        <family val="2"/>
      </rPr>
      <t>1.8m Fence (INSTALLED)</t>
    </r>
    <r>
      <rPr>
        <sz val="12"/>
        <color theme="1"/>
        <rFont val="Verdana"/>
        <family val="2"/>
      </rPr>
      <t xml:space="preserve">
- Inc 3 gates - 2 double 1 single
- Inc bracing every 1panel with extra weight for wind rating up to 100km/h
- Inc 1x pallet of white blocks (feet)</t>
    </r>
  </si>
  <si>
    <t>White Picket</t>
  </si>
  <si>
    <t>FORKS</t>
  </si>
  <si>
    <t>20ft Box Office</t>
  </si>
  <si>
    <t>20ft Container Bar</t>
  </si>
  <si>
    <t>PHS</t>
  </si>
  <si>
    <t>Stage (9m x 7m) Trailer Stage</t>
  </si>
  <si>
    <t>Backline</t>
  </si>
  <si>
    <t>POSSIBLE REDUCE</t>
  </si>
  <si>
    <t>Production Manager / Stage Manager</t>
  </si>
  <si>
    <t>PM/ Site Manager Onsite (Markout stage/site infrastructure)</t>
  </si>
  <si>
    <t>2x Site Crew onsite</t>
  </si>
  <si>
    <t>8am</t>
  </si>
  <si>
    <t>FENCED / KYRON</t>
  </si>
  <si>
    <t>Secure Ops Compound</t>
  </si>
  <si>
    <r>
      <rPr>
        <b/>
        <i/>
        <sz val="36"/>
        <color theme="2" tint="-0.14999847407452621"/>
        <rFont val="Arial"/>
        <family val="2"/>
      </rPr>
      <t>CALCIO ITALIANO 2026</t>
    </r>
    <r>
      <rPr>
        <b/>
        <i/>
        <sz val="36"/>
        <color rgb="FFEC2D49"/>
        <rFont val="Arial"/>
        <family val="2"/>
      </rPr>
      <t xml:space="preserve">
</t>
    </r>
    <r>
      <rPr>
        <b/>
        <i/>
        <sz val="20"/>
        <color rgb="FFEC2D49"/>
        <rFont val="Arial"/>
        <family val="2"/>
      </rPr>
      <t xml:space="preserve">Little </t>
    </r>
    <r>
      <rPr>
        <b/>
        <i/>
        <sz val="20"/>
        <color rgb="FF92D050"/>
        <rFont val="Arial"/>
        <family val="2"/>
      </rPr>
      <t>Italy</t>
    </r>
    <r>
      <rPr>
        <b/>
        <i/>
        <sz val="20"/>
        <color rgb="FFEC2D49"/>
        <rFont val="Arial"/>
        <family val="2"/>
      </rPr>
      <t xml:space="preserve"> </t>
    </r>
    <r>
      <rPr>
        <b/>
        <i/>
        <sz val="20"/>
        <color theme="0"/>
        <rFont val="Arial"/>
        <family val="2"/>
      </rPr>
      <t>Festival</t>
    </r>
  </si>
  <si>
    <t>1pm</t>
  </si>
  <si>
    <t>Set up site office / Ops  compound</t>
  </si>
  <si>
    <t>Chocks / 20x 4ft trestles delivered</t>
  </si>
  <si>
    <t>10D Scissor, 3t AT Fork in compound</t>
  </si>
  <si>
    <t>Saturday 1st August 2026 - Tuesday 12th August 2026</t>
  </si>
  <si>
    <t>10am</t>
  </si>
  <si>
    <t>7am</t>
  </si>
  <si>
    <t>Build Ops Compound fenceline (Scrim) | Crane pl or lawn</t>
  </si>
  <si>
    <t>2pm</t>
  </si>
  <si>
    <t>5pm</t>
  </si>
  <si>
    <t>1:00p,</t>
  </si>
  <si>
    <t>Generators | 1x 60kva</t>
  </si>
  <si>
    <t>Venue to provide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</si>
</sst>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[$$]#,##0.00"/>
    <numFmt numFmtId="165" formatCode="h&quot;:&quot;mm&quot; &quot;AM/PM"/>
    <numFmt numFmtId="166" formatCode="dddd&quot;, &quot;d&quot; &quot;mmmm&quot; &quot;yyyy"/>
    <numFmt numFmtId="167" formatCode="hh:mm"/>
    <numFmt numFmtId="168" formatCode="dd/mm/yy"/>
    <numFmt numFmtId="169" formatCode="&quot;$&quot;#,##0.00"/>
  </numFmts>
  <fonts count="107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rgb="FFFFFF00"/>
      <name val="Arial"/>
      <family val="2"/>
      <scheme val="minor"/>
    </font>
    <font>
      <sz val="10"/>
      <color rgb="FFFFFF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36"/>
      <color rgb="FFFFFFFF"/>
      <name val="Arial"/>
      <family val="2"/>
    </font>
    <font>
      <b/>
      <sz val="10"/>
      <color rgb="FFFFFF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9"/>
      <color theme="1"/>
      <name val="Arial"/>
      <family val="2"/>
    </font>
    <font>
      <b/>
      <sz val="10"/>
      <color rgb="FFFFFF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1"/>
      <name val="Aptos Narrow (Body)"/>
    </font>
    <font>
      <b/>
      <sz val="18"/>
      <color theme="0"/>
      <name val="Arial"/>
      <family val="2"/>
    </font>
    <font>
      <b/>
      <sz val="12"/>
      <color theme="1"/>
      <name val="Arial (Body)"/>
    </font>
    <font>
      <sz val="12"/>
      <color theme="1"/>
      <name val="Arial (Body)"/>
    </font>
    <font>
      <sz val="12"/>
      <color rgb="FF000000"/>
      <name val="Arial (Body)"/>
    </font>
    <font>
      <sz val="12"/>
      <color rgb="FFFFFF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b/>
      <sz val="12"/>
      <color theme="0"/>
      <name val="Arial (Body)"/>
    </font>
    <font>
      <sz val="12"/>
      <color theme="0"/>
      <name val="Arial (Body)"/>
    </font>
    <font>
      <sz val="12"/>
      <name val="Arial (Body)"/>
    </font>
    <font>
      <sz val="12"/>
      <color theme="0" tint="-0.34998626667073579"/>
      <name val="Arial (Body)"/>
    </font>
    <font>
      <b/>
      <i/>
      <sz val="12"/>
      <color theme="1"/>
      <name val="Arial (Body)"/>
    </font>
    <font>
      <b/>
      <sz val="10"/>
      <color theme="0"/>
      <name val="Verdana"/>
      <family val="2"/>
    </font>
    <font>
      <b/>
      <sz val="12"/>
      <color theme="0"/>
      <name val="Verdana"/>
      <family val="2"/>
    </font>
    <font>
      <sz val="12"/>
      <color rgb="FFFFFF00"/>
      <name val="Verdana"/>
      <family val="2"/>
    </font>
    <font>
      <sz val="12"/>
      <color rgb="FF000000"/>
      <name val="Verdana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  <font>
      <b/>
      <sz val="12"/>
      <color rgb="FFFFFFFF"/>
      <name val="Arial (Body)"/>
    </font>
    <font>
      <b/>
      <sz val="12"/>
      <color rgb="FF000000"/>
      <name val="Arial (Body)"/>
    </font>
    <font>
      <i/>
      <sz val="10"/>
      <color rgb="FFEC2D49"/>
      <name val="Arial"/>
      <family val="2"/>
    </font>
    <font>
      <b/>
      <i/>
      <sz val="36"/>
      <color rgb="FFEC2D49"/>
      <name val="Arial"/>
      <family val="2"/>
    </font>
    <font>
      <b/>
      <i/>
      <sz val="14"/>
      <color theme="1"/>
      <name val="Arial"/>
      <family val="2"/>
    </font>
    <font>
      <b/>
      <i/>
      <sz val="12"/>
      <color theme="0"/>
      <name val="Arial (Body)"/>
    </font>
    <font>
      <b/>
      <i/>
      <sz val="12"/>
      <color theme="0"/>
      <name val="Arial"/>
      <family val="2"/>
    </font>
    <font>
      <b/>
      <i/>
      <sz val="12"/>
      <color theme="0"/>
      <name val="Arial"/>
      <family val="2"/>
      <scheme val="minor"/>
    </font>
    <font>
      <sz val="12"/>
      <color theme="1"/>
      <name val="Verdana"/>
      <family val="2"/>
    </font>
    <font>
      <b/>
      <i/>
      <sz val="12"/>
      <color theme="0"/>
      <name val="Verdana"/>
      <family val="2"/>
    </font>
    <font>
      <sz val="12"/>
      <color theme="0"/>
      <name val="Verdana"/>
      <family val="2"/>
    </font>
    <font>
      <b/>
      <i/>
      <sz val="24"/>
      <color theme="0"/>
      <name val="Arial"/>
      <family val="2"/>
      <scheme val="major"/>
    </font>
    <font>
      <b/>
      <i/>
      <sz val="18"/>
      <color theme="0"/>
      <name val="Arial"/>
      <family val="2"/>
    </font>
    <font>
      <i/>
      <sz val="10"/>
      <color theme="0"/>
      <name val="Arial"/>
      <family val="2"/>
    </font>
    <font>
      <b/>
      <i/>
      <sz val="18"/>
      <color theme="2" tint="-4.9989318521683403E-2"/>
      <name val="Arial"/>
      <family val="2"/>
    </font>
    <font>
      <i/>
      <sz val="10"/>
      <color theme="2" tint="-4.9989318521683403E-2"/>
      <name val="Arial"/>
      <family val="2"/>
    </font>
    <font>
      <b/>
      <sz val="18"/>
      <color theme="2" tint="-4.9989318521683403E-2"/>
      <name val="Arial"/>
      <family val="2"/>
      <scheme val="minor"/>
    </font>
    <font>
      <sz val="10"/>
      <color theme="2" tint="-4.9989318521683403E-2"/>
      <name val="Arial"/>
      <family val="2"/>
      <scheme val="minor"/>
    </font>
    <font>
      <b/>
      <sz val="12"/>
      <color theme="2" tint="-4.9989318521683403E-2"/>
      <name val="Arial"/>
      <family val="2"/>
      <scheme val="minor"/>
    </font>
    <font>
      <b/>
      <sz val="14"/>
      <color theme="2" tint="-4.9989318521683403E-2"/>
      <name val="Arial (Body)"/>
    </font>
    <font>
      <sz val="14"/>
      <color theme="2" tint="-4.9989318521683403E-2"/>
      <name val="Arial (Body)"/>
    </font>
    <font>
      <sz val="14"/>
      <color theme="1"/>
      <name val="Arial (Body)"/>
    </font>
    <font>
      <b/>
      <i/>
      <sz val="14"/>
      <color theme="1"/>
      <name val="Arial (Body)"/>
    </font>
    <font>
      <b/>
      <i/>
      <sz val="14"/>
      <color theme="2" tint="-4.9989318521683403E-2"/>
      <name val="Arial (Body)"/>
    </font>
    <font>
      <b/>
      <i/>
      <sz val="14"/>
      <color rgb="FFEC2D49"/>
      <name val="Arial"/>
      <family val="2"/>
      <scheme val="minor"/>
    </font>
    <font>
      <sz val="10"/>
      <color theme="0"/>
      <name val="Arial (Body)"/>
    </font>
    <font>
      <b/>
      <sz val="18"/>
      <color theme="0"/>
      <name val="Arial (Body)"/>
    </font>
    <font>
      <b/>
      <i/>
      <sz val="20"/>
      <color theme="0"/>
      <name val="Arial"/>
      <family val="2"/>
    </font>
    <font>
      <i/>
      <sz val="20"/>
      <color theme="0"/>
      <name val="Arial"/>
      <family val="2"/>
    </font>
    <font>
      <sz val="14"/>
      <color theme="9" tint="-0.249977111117893"/>
      <name val="Helvetica"/>
      <family val="2"/>
    </font>
    <font>
      <b/>
      <i/>
      <sz val="14"/>
      <color theme="9" tint="-0.249977111117893"/>
      <name val="Helvetica"/>
      <family val="2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i/>
      <sz val="14"/>
      <color rgb="FF000000"/>
      <name val="Arial"/>
      <family val="2"/>
      <scheme val="minor"/>
    </font>
    <font>
      <b/>
      <i/>
      <sz val="16"/>
      <color theme="9" tint="-0.249977111117893"/>
      <name val="Arial"/>
      <family val="2"/>
      <scheme val="minor"/>
    </font>
    <font>
      <b/>
      <sz val="16"/>
      <color theme="9" tint="-0.249977111117893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2"/>
      <color rgb="FF000000"/>
      <name val="Arial"/>
      <family val="2"/>
      <scheme val="minor"/>
    </font>
    <font>
      <b/>
      <i/>
      <sz val="12"/>
      <color rgb="FFFFD579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</font>
    <font>
      <sz val="10"/>
      <color theme="2"/>
      <name val="Arial"/>
      <family val="2"/>
      <scheme val="minor"/>
    </font>
    <font>
      <b/>
      <sz val="18"/>
      <color theme="1"/>
      <name val="Arial (Body)"/>
    </font>
    <font>
      <sz val="10"/>
      <color theme="1"/>
      <name val="Arial (Body)"/>
    </font>
    <font>
      <b/>
      <sz val="12"/>
      <color rgb="FFFFD579"/>
      <name val="Arial"/>
      <family val="2"/>
      <scheme val="minor"/>
    </font>
    <font>
      <sz val="12"/>
      <color rgb="FFFFD579"/>
      <name val="Arial"/>
      <family val="2"/>
      <scheme val="minor"/>
    </font>
    <font>
      <sz val="10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4"/>
      <color theme="0"/>
      <name val="Arial"/>
      <family val="2"/>
      <scheme val="minor"/>
    </font>
    <font>
      <sz val="12"/>
      <color rgb="FF1D3D41"/>
      <name val="Helvetica"/>
      <family val="2"/>
    </font>
    <font>
      <b/>
      <i/>
      <sz val="18"/>
      <color theme="0"/>
      <name val="Arial"/>
      <family val="2"/>
      <scheme val="minor"/>
    </font>
    <font>
      <i/>
      <sz val="10"/>
      <color theme="0"/>
      <name val="Arial"/>
      <family val="2"/>
      <scheme val="minor"/>
    </font>
    <font>
      <b/>
      <sz val="12"/>
      <color theme="1"/>
      <name val="Arial"/>
      <family val="2"/>
    </font>
    <font>
      <b/>
      <sz val="16"/>
      <color rgb="FFFFC000"/>
      <name val="Arial"/>
      <family val="2"/>
      <scheme val="minor"/>
    </font>
    <font>
      <sz val="12"/>
      <color rgb="FFFF0000"/>
      <name val="Arial"/>
      <family val="2"/>
      <scheme val="minor"/>
    </font>
    <font>
      <b/>
      <u/>
      <sz val="12"/>
      <color theme="1"/>
      <name val="Verdana"/>
      <family val="2"/>
    </font>
    <font>
      <b/>
      <sz val="12"/>
      <color theme="1"/>
      <name val="Verdana"/>
      <family val="2"/>
    </font>
    <font>
      <b/>
      <i/>
      <sz val="12"/>
      <color rgb="FF000000"/>
      <name val="Arial (Body)"/>
    </font>
    <font>
      <b/>
      <i/>
      <sz val="20"/>
      <color rgb="FFEC2D49"/>
      <name val="Arial"/>
      <family val="2"/>
    </font>
    <font>
      <b/>
      <i/>
      <sz val="20"/>
      <color rgb="FF92D050"/>
      <name val="Arial"/>
      <family val="2"/>
    </font>
    <font>
      <b/>
      <i/>
      <sz val="36"/>
      <color theme="2" tint="-0.14999847407452621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D0D0D"/>
        <bgColor rgb="FF0D0D0D"/>
      </patternFill>
    </fill>
    <fill>
      <patternFill patternType="solid">
        <fgColor rgb="FFFF00FF"/>
        <bgColor rgb="FFFF00FF"/>
      </patternFill>
    </fill>
    <fill>
      <patternFill patternType="solid">
        <fgColor rgb="FFFF30F4"/>
        <bgColor rgb="FFFF30F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4.9989318521683403E-2"/>
        <bgColor rgb="FFFFFF00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EC2D49"/>
        <bgColor rgb="FF000000"/>
      </patternFill>
    </fill>
    <fill>
      <patternFill patternType="solid">
        <fgColor rgb="FFEC2D49"/>
        <bgColor indexed="64"/>
      </patternFill>
    </fill>
    <fill>
      <patternFill patternType="solid">
        <fgColor rgb="FFEC2D49"/>
        <bgColor rgb="FF0D0D0D"/>
      </patternFill>
    </fill>
    <fill>
      <patternFill patternType="solid">
        <fgColor rgb="FFEC2D49"/>
        <bgColor rgb="FFFF00FF"/>
      </patternFill>
    </fill>
    <fill>
      <patternFill patternType="solid">
        <fgColor rgb="FFEC2D49"/>
        <bgColor theme="1"/>
      </patternFill>
    </fill>
    <fill>
      <patternFill patternType="solid">
        <fgColor theme="3" tint="0.249977111117893"/>
        <bgColor rgb="FFFFFF00"/>
      </patternFill>
    </fill>
    <fill>
      <patternFill patternType="solid">
        <fgColor theme="3" tint="0.249977111117893"/>
        <bgColor rgb="FF000000"/>
      </patternFill>
    </fill>
    <fill>
      <patternFill patternType="solid">
        <fgColor rgb="FFEC2D49"/>
        <bgColor rgb="FFFFFF00"/>
      </patternFill>
    </fill>
    <fill>
      <patternFill patternType="solid">
        <fgColor theme="2" tint="-4.9989318521683403E-2"/>
        <bgColor rgb="FF000000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2" tint="-4.9989318521683403E-2"/>
        <bgColor rgb="FFFFFF00"/>
      </patternFill>
    </fill>
    <fill>
      <patternFill patternType="solid">
        <fgColor theme="2" tint="-0.249977111117893"/>
        <bgColor rgb="FFFFFF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rgb="FFFFFC00"/>
      </patternFill>
    </fill>
    <fill>
      <patternFill patternType="solid">
        <fgColor theme="1"/>
        <bgColor rgb="FF000000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rgb="FFFFFF00"/>
      </patternFill>
    </fill>
    <fill>
      <patternFill patternType="solid">
        <fgColor theme="6" tint="0.39997558519241921"/>
        <bgColor rgb="FFFFFF00"/>
      </patternFill>
    </fill>
    <fill>
      <patternFill patternType="solid">
        <fgColor rgb="FFFFD579"/>
        <bgColor indexed="64"/>
      </patternFill>
    </fill>
    <fill>
      <patternFill patternType="solid">
        <fgColor rgb="FFFFD579"/>
        <bgColor rgb="FF000000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D579"/>
        <bgColor rgb="FFFFFFFF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rgb="FFFFFF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D579"/>
        <bgColor rgb="FFFFFF00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C2D49"/>
        <bgColor rgb="FFFFFFFF"/>
      </patternFill>
    </fill>
    <fill>
      <patternFill patternType="solid">
        <fgColor rgb="FF05EEF9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rgb="FFF5B4DA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theme="3" tint="0.499984740745262"/>
        <bgColor rgb="FFFFFFFF"/>
      </patternFill>
    </fill>
    <fill>
      <patternFill patternType="solid">
        <fgColor rgb="FFFFC000"/>
        <bgColor rgb="FF000000"/>
      </patternFill>
    </fill>
    <fill>
      <patternFill patternType="solid">
        <fgColor rgb="FFF4B3D9"/>
        <bgColor indexed="64"/>
      </patternFill>
    </fill>
  </fills>
  <borders count="10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FF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FFFF00"/>
      </left>
      <right style="thin">
        <color rgb="FF000000"/>
      </right>
      <top style="thin">
        <color theme="1"/>
      </top>
      <bottom/>
      <diagonal/>
    </border>
    <border>
      <left style="thin">
        <color rgb="FFFFFF00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FFFF00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00"/>
      </left>
      <right style="thin">
        <color theme="1"/>
      </right>
      <top/>
      <bottom style="thin">
        <color rgb="FFFFFF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FFFF00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9" fillId="0" borderId="0" applyFont="0" applyFill="0" applyBorder="0" applyAlignment="0" applyProtection="0"/>
    <xf numFmtId="0" fontId="8" fillId="0" borderId="0"/>
  </cellStyleXfs>
  <cellXfs count="552">
    <xf numFmtId="0" fontId="0" fillId="0" borderId="0" xfId="0"/>
    <xf numFmtId="0" fontId="5" fillId="3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9" fillId="4" borderId="10" xfId="0" applyFont="1" applyFill="1" applyBorder="1"/>
    <xf numFmtId="0" fontId="9" fillId="4" borderId="11" xfId="0" applyFont="1" applyFill="1" applyBorder="1"/>
    <xf numFmtId="0" fontId="6" fillId="3" borderId="0" xfId="0" applyFont="1" applyFill="1" applyAlignment="1">
      <alignment horizontal="center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11" fillId="0" borderId="0" xfId="0" applyFont="1"/>
    <xf numFmtId="0" fontId="5" fillId="2" borderId="4" xfId="0" applyFont="1" applyFill="1" applyBorder="1"/>
    <xf numFmtId="165" fontId="4" fillId="4" borderId="4" xfId="0" applyNumberFormat="1" applyFont="1" applyFill="1" applyBorder="1"/>
    <xf numFmtId="0" fontId="4" fillId="4" borderId="4" xfId="0" applyFont="1" applyFill="1" applyBorder="1"/>
    <xf numFmtId="0" fontId="11" fillId="5" borderId="0" xfId="0" applyFont="1" applyFill="1"/>
    <xf numFmtId="0" fontId="1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3" fillId="0" borderId="4" xfId="0" applyFont="1" applyBorder="1"/>
    <xf numFmtId="165" fontId="13" fillId="0" borderId="4" xfId="0" applyNumberFormat="1" applyFont="1" applyBorder="1" applyAlignment="1">
      <alignment horizontal="center"/>
    </xf>
    <xf numFmtId="0" fontId="13" fillId="0" borderId="0" xfId="0" applyFont="1"/>
    <xf numFmtId="165" fontId="1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0" fontId="5" fillId="3" borderId="0" xfId="0" applyFont="1" applyFill="1"/>
    <xf numFmtId="165" fontId="5" fillId="0" borderId="0" xfId="0" applyNumberFormat="1" applyFont="1"/>
    <xf numFmtId="0" fontId="5" fillId="5" borderId="4" xfId="0" applyFont="1" applyFill="1" applyBorder="1" applyAlignment="1">
      <alignment horizontal="center" vertical="center"/>
    </xf>
    <xf numFmtId="168" fontId="5" fillId="0" borderId="4" xfId="0" applyNumberFormat="1" applyFont="1" applyBorder="1"/>
    <xf numFmtId="0" fontId="5" fillId="0" borderId="0" xfId="0" applyFont="1" applyAlignment="1">
      <alignment horizontal="center" vertical="center"/>
    </xf>
    <xf numFmtId="0" fontId="5" fillId="5" borderId="0" xfId="0" applyFont="1" applyFill="1"/>
    <xf numFmtId="0" fontId="4" fillId="4" borderId="0" xfId="0" applyFont="1" applyFill="1"/>
    <xf numFmtId="0" fontId="9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16" fillId="0" borderId="0" xfId="0" applyFont="1"/>
    <xf numFmtId="49" fontId="16" fillId="0" borderId="0" xfId="0" applyNumberFormat="1" applyFont="1"/>
    <xf numFmtId="0" fontId="17" fillId="3" borderId="4" xfId="0" applyFont="1" applyFill="1" applyBorder="1" applyAlignment="1">
      <alignment horizontal="left"/>
    </xf>
    <xf numFmtId="0" fontId="16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49" fontId="5" fillId="0" borderId="0" xfId="0" applyNumberFormat="1" applyFont="1"/>
    <xf numFmtId="0" fontId="5" fillId="4" borderId="0" xfId="0" applyFont="1" applyFill="1" applyAlignment="1">
      <alignment horizontal="left"/>
    </xf>
    <xf numFmtId="0" fontId="16" fillId="0" borderId="4" xfId="0" applyFont="1" applyBorder="1"/>
    <xf numFmtId="0" fontId="16" fillId="4" borderId="0" xfId="0" applyFont="1" applyFill="1"/>
    <xf numFmtId="0" fontId="21" fillId="13" borderId="0" xfId="0" applyFont="1" applyFill="1"/>
    <xf numFmtId="0" fontId="20" fillId="2" borderId="1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7" fillId="0" borderId="4" xfId="0" applyFont="1" applyBorder="1"/>
    <xf numFmtId="0" fontId="28" fillId="0" borderId="0" xfId="0" applyFont="1"/>
    <xf numFmtId="0" fontId="27" fillId="0" borderId="17" xfId="0" applyFont="1" applyBorder="1"/>
    <xf numFmtId="0" fontId="29" fillId="4" borderId="4" xfId="0" applyFont="1" applyFill="1" applyBorder="1"/>
    <xf numFmtId="0" fontId="30" fillId="4" borderId="4" xfId="0" applyFont="1" applyFill="1" applyBorder="1"/>
    <xf numFmtId="0" fontId="30" fillId="4" borderId="4" xfId="0" applyFont="1" applyFill="1" applyBorder="1" applyAlignment="1">
      <alignment horizontal="center"/>
    </xf>
    <xf numFmtId="0" fontId="30" fillId="0" borderId="4" xfId="0" applyFont="1" applyBorder="1"/>
    <xf numFmtId="0" fontId="30" fillId="0" borderId="4" xfId="0" applyFont="1" applyBorder="1" applyAlignment="1">
      <alignment horizontal="center"/>
    </xf>
    <xf numFmtId="0" fontId="31" fillId="0" borderId="0" xfId="0" applyFont="1" applyAlignment="1">
      <alignment horizontal="right"/>
    </xf>
    <xf numFmtId="0" fontId="31" fillId="0" borderId="0" xfId="0" applyFont="1"/>
    <xf numFmtId="0" fontId="30" fillId="0" borderId="4" xfId="0" applyFont="1" applyBorder="1" applyAlignment="1">
      <alignment wrapText="1"/>
    </xf>
    <xf numFmtId="0" fontId="20" fillId="4" borderId="4" xfId="0" applyFont="1" applyFill="1" applyBorder="1"/>
    <xf numFmtId="0" fontId="32" fillId="10" borderId="18" xfId="2" applyFont="1" applyFill="1" applyBorder="1"/>
    <xf numFmtId="0" fontId="32" fillId="10" borderId="18" xfId="2" applyFont="1" applyFill="1" applyBorder="1" applyAlignment="1">
      <alignment horizontal="center"/>
    </xf>
    <xf numFmtId="169" fontId="33" fillId="10" borderId="18" xfId="2" applyNumberFormat="1" applyFont="1" applyFill="1" applyBorder="1" applyAlignment="1">
      <alignment horizontal="right" vertical="center"/>
    </xf>
    <xf numFmtId="0" fontId="34" fillId="0" borderId="19" xfId="2" applyFont="1" applyBorder="1" applyAlignment="1">
      <alignment horizontal="left"/>
    </xf>
    <xf numFmtId="169" fontId="34" fillId="0" borderId="19" xfId="2" applyNumberFormat="1" applyFont="1" applyBorder="1" applyAlignment="1">
      <alignment horizontal="center"/>
    </xf>
    <xf numFmtId="169" fontId="34" fillId="0" borderId="19" xfId="2" applyNumberFormat="1" applyFont="1" applyBorder="1" applyAlignment="1">
      <alignment vertical="center"/>
    </xf>
    <xf numFmtId="0" fontId="28" fillId="0" borderId="19" xfId="0" applyFont="1" applyBorder="1"/>
    <xf numFmtId="169" fontId="35" fillId="0" borderId="19" xfId="2" applyNumberFormat="1" applyFont="1" applyBorder="1" applyAlignment="1">
      <alignment vertical="center"/>
    </xf>
    <xf numFmtId="0" fontId="27" fillId="0" borderId="19" xfId="2" applyFont="1" applyBorder="1" applyAlignment="1">
      <alignment horizontal="left"/>
    </xf>
    <xf numFmtId="0" fontId="34" fillId="0" borderId="19" xfId="2" applyFont="1" applyBorder="1"/>
    <xf numFmtId="0" fontId="28" fillId="0" borderId="18" xfId="0" applyFont="1" applyBorder="1"/>
    <xf numFmtId="169" fontId="28" fillId="0" borderId="19" xfId="0" applyNumberFormat="1" applyFont="1" applyBorder="1"/>
    <xf numFmtId="0" fontId="32" fillId="10" borderId="19" xfId="2" applyFont="1" applyFill="1" applyBorder="1"/>
    <xf numFmtId="0" fontId="32" fillId="10" borderId="19" xfId="2" applyFont="1" applyFill="1" applyBorder="1" applyAlignment="1">
      <alignment horizontal="center"/>
    </xf>
    <xf numFmtId="169" fontId="33" fillId="10" borderId="25" xfId="2" applyNumberFormat="1" applyFont="1" applyFill="1" applyBorder="1" applyAlignment="1">
      <alignment horizontal="right" vertical="center"/>
    </xf>
    <xf numFmtId="0" fontId="28" fillId="0" borderId="19" xfId="0" applyFont="1" applyBorder="1" applyAlignment="1">
      <alignment horizontal="center"/>
    </xf>
    <xf numFmtId="44" fontId="28" fillId="0" borderId="19" xfId="1" applyFont="1" applyBorder="1"/>
    <xf numFmtId="44" fontId="28" fillId="0" borderId="18" xfId="1" applyFont="1" applyBorder="1"/>
    <xf numFmtId="0" fontId="33" fillId="12" borderId="0" xfId="0" applyFont="1" applyFill="1"/>
    <xf numFmtId="44" fontId="28" fillId="0" borderId="26" xfId="1" applyFont="1" applyBorder="1"/>
    <xf numFmtId="44" fontId="28" fillId="0" borderId="19" xfId="0" applyNumberFormat="1" applyFont="1" applyBorder="1"/>
    <xf numFmtId="44" fontId="28" fillId="11" borderId="19" xfId="0" applyNumberFormat="1" applyFont="1" applyFill="1" applyBorder="1"/>
    <xf numFmtId="165" fontId="12" fillId="4" borderId="4" xfId="0" applyNumberFormat="1" applyFont="1" applyFill="1" applyBorder="1" applyAlignment="1">
      <alignment horizontal="left" vertical="center"/>
    </xf>
    <xf numFmtId="0" fontId="40" fillId="3" borderId="9" xfId="0" applyFont="1" applyFill="1" applyBorder="1" applyAlignment="1">
      <alignment horizontal="center"/>
    </xf>
    <xf numFmtId="164" fontId="41" fillId="3" borderId="4" xfId="0" applyNumberFormat="1" applyFont="1" applyFill="1" applyBorder="1" applyAlignment="1">
      <alignment horizontal="center"/>
    </xf>
    <xf numFmtId="164" fontId="41" fillId="3" borderId="4" xfId="0" applyNumberFormat="1" applyFont="1" applyFill="1" applyBorder="1" applyAlignment="1">
      <alignment horizontal="right"/>
    </xf>
    <xf numFmtId="164" fontId="41" fillId="3" borderId="4" xfId="0" applyNumberFormat="1" applyFont="1" applyFill="1" applyBorder="1"/>
    <xf numFmtId="0" fontId="31" fillId="3" borderId="4" xfId="0" applyFont="1" applyFill="1" applyBorder="1" applyAlignment="1">
      <alignment horizontal="center"/>
    </xf>
    <xf numFmtId="0" fontId="41" fillId="3" borderId="4" xfId="0" applyFont="1" applyFill="1" applyBorder="1"/>
    <xf numFmtId="0" fontId="2" fillId="0" borderId="4" xfId="0" applyFont="1" applyBorder="1"/>
    <xf numFmtId="0" fontId="40" fillId="3" borderId="4" xfId="0" applyFont="1" applyFill="1" applyBorder="1" applyAlignment="1">
      <alignment horizontal="center"/>
    </xf>
    <xf numFmtId="0" fontId="2" fillId="6" borderId="4" xfId="0" applyFont="1" applyFill="1" applyBorder="1"/>
    <xf numFmtId="164" fontId="41" fillId="4" borderId="0" xfId="0" applyNumberFormat="1" applyFont="1" applyFill="1" applyAlignment="1">
      <alignment horizontal="left"/>
    </xf>
    <xf numFmtId="0" fontId="2" fillId="4" borderId="0" xfId="0" applyFont="1" applyFill="1"/>
    <xf numFmtId="0" fontId="27" fillId="4" borderId="4" xfId="0" applyFont="1" applyFill="1" applyBorder="1"/>
    <xf numFmtId="0" fontId="27" fillId="0" borderId="4" xfId="0" applyFont="1" applyBorder="1" applyAlignment="1">
      <alignment horizontal="center"/>
    </xf>
    <xf numFmtId="0" fontId="27" fillId="0" borderId="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27" fillId="0" borderId="4" xfId="0" applyNumberFormat="1" applyFont="1" applyBorder="1" applyAlignment="1">
      <alignment horizontal="center"/>
    </xf>
    <xf numFmtId="167" fontId="27" fillId="0" borderId="4" xfId="0" applyNumberFormat="1" applyFont="1" applyBorder="1" applyAlignment="1">
      <alignment horizontal="center"/>
    </xf>
    <xf numFmtId="0" fontId="27" fillId="7" borderId="4" xfId="0" applyFont="1" applyFill="1" applyBorder="1"/>
    <xf numFmtId="0" fontId="43" fillId="8" borderId="4" xfId="0" applyFont="1" applyFill="1" applyBorder="1"/>
    <xf numFmtId="167" fontId="27" fillId="0" borderId="0" xfId="0" applyNumberFormat="1" applyFont="1"/>
    <xf numFmtId="0" fontId="43" fillId="9" borderId="4" xfId="0" applyFont="1" applyFill="1" applyBorder="1" applyAlignment="1">
      <alignment horizontal="center"/>
    </xf>
    <xf numFmtId="0" fontId="43" fillId="9" borderId="4" xfId="0" applyFont="1" applyFill="1" applyBorder="1"/>
    <xf numFmtId="0" fontId="28" fillId="3" borderId="4" xfId="0" applyFont="1" applyFill="1" applyBorder="1" applyAlignment="1">
      <alignment horizontal="center"/>
    </xf>
    <xf numFmtId="0" fontId="44" fillId="3" borderId="4" xfId="0" applyFont="1" applyFill="1" applyBorder="1"/>
    <xf numFmtId="0" fontId="20" fillId="16" borderId="4" xfId="0" applyFont="1" applyFill="1" applyBorder="1" applyAlignment="1">
      <alignment horizontal="center"/>
    </xf>
    <xf numFmtId="0" fontId="33" fillId="16" borderId="4" xfId="0" applyFont="1" applyFill="1" applyBorder="1"/>
    <xf numFmtId="0" fontId="32" fillId="16" borderId="4" xfId="0" applyFont="1" applyFill="1" applyBorder="1" applyAlignment="1">
      <alignment horizontal="center"/>
    </xf>
    <xf numFmtId="0" fontId="33" fillId="18" borderId="4" xfId="0" applyFont="1" applyFill="1" applyBorder="1"/>
    <xf numFmtId="0" fontId="20" fillId="19" borderId="4" xfId="0" applyFont="1" applyFill="1" applyBorder="1"/>
    <xf numFmtId="0" fontId="21" fillId="19" borderId="4" xfId="0" applyFont="1" applyFill="1" applyBorder="1"/>
    <xf numFmtId="0" fontId="47" fillId="0" borderId="4" xfId="0" applyFont="1" applyBorder="1" applyAlignment="1">
      <alignment horizontal="right"/>
    </xf>
    <xf numFmtId="0" fontId="47" fillId="3" borderId="4" xfId="0" applyFont="1" applyFill="1" applyBorder="1" applyAlignment="1">
      <alignment horizontal="right"/>
    </xf>
    <xf numFmtId="0" fontId="48" fillId="21" borderId="4" xfId="0" applyFont="1" applyFill="1" applyBorder="1" applyAlignment="1">
      <alignment horizontal="center" vertical="center"/>
    </xf>
    <xf numFmtId="0" fontId="49" fillId="21" borderId="4" xfId="0" applyFont="1" applyFill="1" applyBorder="1" applyAlignment="1">
      <alignment horizontal="center" vertical="center"/>
    </xf>
    <xf numFmtId="0" fontId="50" fillId="4" borderId="4" xfId="0" applyFont="1" applyFill="1" applyBorder="1"/>
    <xf numFmtId="0" fontId="39" fillId="24" borderId="32" xfId="0" applyFont="1" applyFill="1" applyBorder="1"/>
    <xf numFmtId="0" fontId="51" fillId="24" borderId="33" xfId="0" applyFont="1" applyFill="1" applyBorder="1"/>
    <xf numFmtId="0" fontId="51" fillId="24" borderId="31" xfId="0" applyFont="1" applyFill="1" applyBorder="1"/>
    <xf numFmtId="0" fontId="51" fillId="24" borderId="34" xfId="0" applyFont="1" applyFill="1" applyBorder="1"/>
    <xf numFmtId="0" fontId="51" fillId="24" borderId="35" xfId="0" applyFont="1" applyFill="1" applyBorder="1"/>
    <xf numFmtId="164" fontId="53" fillId="4" borderId="0" xfId="0" applyNumberFormat="1" applyFont="1" applyFill="1" applyAlignment="1">
      <alignment horizontal="right"/>
    </xf>
    <xf numFmtId="0" fontId="38" fillId="4" borderId="37" xfId="0" applyFont="1" applyFill="1" applyBorder="1" applyAlignment="1">
      <alignment horizontal="center"/>
    </xf>
    <xf numFmtId="0" fontId="38" fillId="4" borderId="36" xfId="0" applyFont="1" applyFill="1" applyBorder="1" applyAlignment="1">
      <alignment horizontal="center"/>
    </xf>
    <xf numFmtId="0" fontId="38" fillId="4" borderId="31" xfId="0" applyFont="1" applyFill="1" applyBorder="1" applyAlignment="1">
      <alignment horizontal="center"/>
    </xf>
    <xf numFmtId="0" fontId="38" fillId="4" borderId="39" xfId="0" applyFont="1" applyFill="1" applyBorder="1" applyAlignment="1">
      <alignment horizontal="center"/>
    </xf>
    <xf numFmtId="0" fontId="40" fillId="3" borderId="38" xfId="0" applyFont="1" applyFill="1" applyBorder="1" applyAlignment="1">
      <alignment horizontal="center"/>
    </xf>
    <xf numFmtId="164" fontId="41" fillId="3" borderId="9" xfId="0" applyNumberFormat="1" applyFont="1" applyFill="1" applyBorder="1" applyAlignment="1">
      <alignment horizontal="center"/>
    </xf>
    <xf numFmtId="0" fontId="40" fillId="3" borderId="14" xfId="0" applyFont="1" applyFill="1" applyBorder="1" applyAlignment="1">
      <alignment horizontal="center"/>
    </xf>
    <xf numFmtId="0" fontId="40" fillId="3" borderId="31" xfId="0" applyFont="1" applyFill="1" applyBorder="1" applyAlignment="1">
      <alignment horizontal="center"/>
    </xf>
    <xf numFmtId="0" fontId="52" fillId="14" borderId="45" xfId="0" applyFont="1" applyFill="1" applyBorder="1" applyAlignment="1">
      <alignment horizontal="center" vertical="center"/>
    </xf>
    <xf numFmtId="164" fontId="52" fillId="14" borderId="45" xfId="0" applyNumberFormat="1" applyFont="1" applyFill="1" applyBorder="1" applyAlignment="1">
      <alignment horizontal="center" vertical="center"/>
    </xf>
    <xf numFmtId="0" fontId="50" fillId="14" borderId="45" xfId="0" applyFont="1" applyFill="1" applyBorder="1" applyAlignment="1">
      <alignment horizontal="center" vertical="center"/>
    </xf>
    <xf numFmtId="164" fontId="41" fillId="3" borderId="15" xfId="0" applyNumberFormat="1" applyFont="1" applyFill="1" applyBorder="1" applyAlignment="1">
      <alignment horizontal="right"/>
    </xf>
    <xf numFmtId="0" fontId="49" fillId="14" borderId="48" xfId="0" applyFont="1" applyFill="1" applyBorder="1" applyAlignment="1">
      <alignment horizontal="center" vertical="center"/>
    </xf>
    <xf numFmtId="164" fontId="41" fillId="25" borderId="4" xfId="0" applyNumberFormat="1" applyFont="1" applyFill="1" applyBorder="1" applyAlignment="1">
      <alignment horizontal="right"/>
    </xf>
    <xf numFmtId="164" fontId="41" fillId="25" borderId="4" xfId="0" applyNumberFormat="1" applyFont="1" applyFill="1" applyBorder="1"/>
    <xf numFmtId="164" fontId="41" fillId="3" borderId="9" xfId="0" applyNumberFormat="1" applyFont="1" applyFill="1" applyBorder="1"/>
    <xf numFmtId="164" fontId="41" fillId="3" borderId="14" xfId="0" applyNumberFormat="1" applyFont="1" applyFill="1" applyBorder="1" applyAlignment="1">
      <alignment horizontal="right"/>
    </xf>
    <xf numFmtId="164" fontId="41" fillId="3" borderId="33" xfId="0" applyNumberFormat="1" applyFont="1" applyFill="1" applyBorder="1" applyAlignment="1">
      <alignment horizontal="right"/>
    </xf>
    <xf numFmtId="164" fontId="41" fillId="3" borderId="5" xfId="0" applyNumberFormat="1" applyFont="1" applyFill="1" applyBorder="1" applyAlignment="1">
      <alignment horizontal="center"/>
    </xf>
    <xf numFmtId="164" fontId="41" fillId="3" borderId="36" xfId="0" applyNumberFormat="1" applyFont="1" applyFill="1" applyBorder="1" applyAlignment="1">
      <alignment horizontal="right"/>
    </xf>
    <xf numFmtId="164" fontId="41" fillId="3" borderId="51" xfId="0" applyNumberFormat="1" applyFont="1" applyFill="1" applyBorder="1" applyAlignment="1">
      <alignment horizontal="center"/>
    </xf>
    <xf numFmtId="164" fontId="17" fillId="3" borderId="31" xfId="0" applyNumberFormat="1" applyFont="1" applyFill="1" applyBorder="1" applyAlignment="1">
      <alignment horizontal="right"/>
    </xf>
    <xf numFmtId="165" fontId="26" fillId="27" borderId="4" xfId="0" applyNumberFormat="1" applyFont="1" applyFill="1" applyBorder="1" applyAlignment="1">
      <alignment horizontal="center"/>
    </xf>
    <xf numFmtId="0" fontId="26" fillId="27" borderId="4" xfId="0" applyFont="1" applyFill="1" applyBorder="1" applyAlignment="1">
      <alignment horizontal="center"/>
    </xf>
    <xf numFmtId="0" fontId="26" fillId="27" borderId="4" xfId="0" applyFont="1" applyFill="1" applyBorder="1"/>
    <xf numFmtId="0" fontId="27" fillId="27" borderId="4" xfId="0" applyFont="1" applyFill="1" applyBorder="1"/>
    <xf numFmtId="0" fontId="60" fillId="4" borderId="0" xfId="0" applyFont="1" applyFill="1" applyAlignment="1">
      <alignment horizontal="center" vertical="center"/>
    </xf>
    <xf numFmtId="0" fontId="5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0" borderId="4" xfId="0" applyFont="1" applyBorder="1"/>
    <xf numFmtId="0" fontId="64" fillId="0" borderId="4" xfId="0" applyFont="1" applyBorder="1" applyAlignment="1">
      <alignment horizontal="center"/>
    </xf>
    <xf numFmtId="0" fontId="64" fillId="26" borderId="4" xfId="0" applyFont="1" applyFill="1" applyBorder="1"/>
    <xf numFmtId="0" fontId="63" fillId="22" borderId="4" xfId="0" applyFont="1" applyFill="1" applyBorder="1"/>
    <xf numFmtId="0" fontId="64" fillId="0" borderId="15" xfId="0" applyFont="1" applyBorder="1" applyAlignment="1">
      <alignment horizontal="center"/>
    </xf>
    <xf numFmtId="0" fontId="62" fillId="4" borderId="50" xfId="0" applyFont="1" applyFill="1" applyBorder="1" applyAlignment="1">
      <alignment horizontal="center" vertical="center"/>
    </xf>
    <xf numFmtId="0" fontId="62" fillId="4" borderId="56" xfId="0" applyFont="1" applyFill="1" applyBorder="1" applyAlignment="1">
      <alignment horizontal="center" vertical="center"/>
    </xf>
    <xf numFmtId="0" fontId="64" fillId="0" borderId="9" xfId="0" applyFont="1" applyBorder="1" applyAlignment="1">
      <alignment horizontal="center"/>
    </xf>
    <xf numFmtId="0" fontId="64" fillId="0" borderId="15" xfId="0" applyFont="1" applyBorder="1"/>
    <xf numFmtId="0" fontId="64" fillId="0" borderId="8" xfId="0" applyFont="1" applyBorder="1" applyAlignment="1">
      <alignment horizontal="center"/>
    </xf>
    <xf numFmtId="0" fontId="64" fillId="0" borderId="40" xfId="0" applyFont="1" applyBorder="1" applyAlignment="1">
      <alignment horizontal="center"/>
    </xf>
    <xf numFmtId="0" fontId="64" fillId="0" borderId="31" xfId="0" applyFont="1" applyBorder="1" applyAlignment="1">
      <alignment horizontal="center"/>
    </xf>
    <xf numFmtId="0" fontId="65" fillId="26" borderId="4" xfId="0" applyFont="1" applyFill="1" applyBorder="1"/>
    <xf numFmtId="0" fontId="66" fillId="22" borderId="4" xfId="0" applyFont="1" applyFill="1" applyBorder="1"/>
    <xf numFmtId="0" fontId="63" fillId="29" borderId="4" xfId="0" applyFont="1" applyFill="1" applyBorder="1"/>
    <xf numFmtId="0" fontId="22" fillId="4" borderId="4" xfId="0" applyFont="1" applyFill="1" applyBorder="1" applyAlignment="1">
      <alignment horizontal="center"/>
    </xf>
    <xf numFmtId="0" fontId="68" fillId="4" borderId="4" xfId="0" applyFont="1" applyFill="1" applyBorder="1" applyAlignment="1">
      <alignment horizontal="center"/>
    </xf>
    <xf numFmtId="0" fontId="22" fillId="30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8" fillId="4" borderId="59" xfId="0" applyFont="1" applyFill="1" applyBorder="1" applyAlignment="1">
      <alignment horizontal="center"/>
    </xf>
    <xf numFmtId="16" fontId="72" fillId="32" borderId="60" xfId="0" applyNumberFormat="1" applyFont="1" applyFill="1" applyBorder="1"/>
    <xf numFmtId="0" fontId="73" fillId="32" borderId="18" xfId="0" applyFont="1" applyFill="1" applyBorder="1"/>
    <xf numFmtId="0" fontId="76" fillId="0" borderId="6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5" fillId="0" borderId="63" xfId="0" applyFont="1" applyBorder="1" applyAlignment="1">
      <alignment horizontal="center"/>
    </xf>
    <xf numFmtId="0" fontId="18" fillId="0" borderId="62" xfId="0" applyFont="1" applyBorder="1" applyAlignment="1">
      <alignment horizontal="center"/>
    </xf>
    <xf numFmtId="0" fontId="18" fillId="0" borderId="63" xfId="0" applyFont="1" applyBorder="1" applyAlignment="1">
      <alignment horizontal="center"/>
    </xf>
    <xf numFmtId="0" fontId="77" fillId="0" borderId="61" xfId="0" applyFont="1" applyBorder="1" applyAlignment="1">
      <alignment horizontal="center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73" fillId="32" borderId="20" xfId="0" applyFont="1" applyFill="1" applyBorder="1"/>
    <xf numFmtId="0" fontId="78" fillId="33" borderId="0" xfId="0" applyFont="1" applyFill="1" applyAlignment="1">
      <alignment horizontal="center" vertical="center"/>
    </xf>
    <xf numFmtId="0" fontId="11" fillId="0" borderId="62" xfId="0" applyFont="1" applyBorder="1" applyAlignment="1">
      <alignment horizontal="center"/>
    </xf>
    <xf numFmtId="16" fontId="72" fillId="32" borderId="22" xfId="0" applyNumberFormat="1" applyFont="1" applyFill="1" applyBorder="1"/>
    <xf numFmtId="14" fontId="0" fillId="0" borderId="61" xfId="0" applyNumberFormat="1" applyBorder="1"/>
    <xf numFmtId="0" fontId="18" fillId="0" borderId="61" xfId="0" applyFont="1" applyBorder="1" applyAlignment="1">
      <alignment horizontal="center"/>
    </xf>
    <xf numFmtId="0" fontId="31" fillId="0" borderId="63" xfId="0" applyFont="1" applyBorder="1" applyAlignment="1">
      <alignment horizontal="center"/>
    </xf>
    <xf numFmtId="0" fontId="11" fillId="0" borderId="62" xfId="0" applyFont="1" applyBorder="1"/>
    <xf numFmtId="0" fontId="31" fillId="0" borderId="62" xfId="0" applyFont="1" applyBorder="1" applyAlignment="1">
      <alignment horizontal="center"/>
    </xf>
    <xf numFmtId="0" fontId="20" fillId="13" borderId="0" xfId="0" applyFont="1" applyFill="1" applyAlignment="1">
      <alignment horizontal="center"/>
    </xf>
    <xf numFmtId="44" fontId="0" fillId="0" borderId="29" xfId="0" applyNumberFormat="1" applyBorder="1"/>
    <xf numFmtId="0" fontId="0" fillId="0" borderId="28" xfId="0" applyBorder="1"/>
    <xf numFmtId="0" fontId="11" fillId="0" borderId="26" xfId="0" applyFont="1" applyBorder="1"/>
    <xf numFmtId="0" fontId="0" fillId="0" borderId="66" xfId="0" applyBorder="1"/>
    <xf numFmtId="0" fontId="18" fillId="0" borderId="19" xfId="0" applyFont="1" applyBorder="1" applyAlignment="1">
      <alignment horizontal="center"/>
    </xf>
    <xf numFmtId="0" fontId="11" fillId="0" borderId="15" xfId="0" applyFont="1" applyBorder="1"/>
    <xf numFmtId="0" fontId="11" fillId="0" borderId="11" xfId="0" applyFont="1" applyBorder="1"/>
    <xf numFmtId="0" fontId="80" fillId="4" borderId="14" xfId="0" applyFont="1" applyFill="1" applyBorder="1" applyAlignment="1">
      <alignment horizontal="center" vertical="center"/>
    </xf>
    <xf numFmtId="0" fontId="80" fillId="4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166" fontId="80" fillId="4" borderId="7" xfId="0" applyNumberFormat="1" applyFont="1" applyFill="1" applyBorder="1" applyAlignment="1">
      <alignment horizontal="center" vertical="center"/>
    </xf>
    <xf numFmtId="166" fontId="14" fillId="4" borderId="7" xfId="0" applyNumberFormat="1" applyFont="1" applyFill="1" applyBorder="1" applyAlignment="1">
      <alignment horizontal="center" vertical="center"/>
    </xf>
    <xf numFmtId="0" fontId="15" fillId="35" borderId="15" xfId="0" applyFont="1" applyFill="1" applyBorder="1" applyAlignment="1">
      <alignment horizontal="center" vertical="center"/>
    </xf>
    <xf numFmtId="0" fontId="15" fillId="35" borderId="11" xfId="0" applyFont="1" applyFill="1" applyBorder="1" applyAlignment="1">
      <alignment horizontal="center" vertical="center"/>
    </xf>
    <xf numFmtId="166" fontId="20" fillId="4" borderId="8" xfId="0" applyNumberFormat="1" applyFont="1" applyFill="1" applyBorder="1" applyAlignment="1">
      <alignment horizontal="center" vertical="center"/>
    </xf>
    <xf numFmtId="166" fontId="20" fillId="4" borderId="9" xfId="0" applyNumberFormat="1" applyFont="1" applyFill="1" applyBorder="1" applyAlignment="1">
      <alignment horizontal="center" vertical="center"/>
    </xf>
    <xf numFmtId="0" fontId="0" fillId="13" borderId="0" xfId="0" applyFill="1"/>
    <xf numFmtId="0" fontId="11" fillId="0" borderId="12" xfId="0" applyFont="1" applyBorder="1"/>
    <xf numFmtId="0" fontId="0" fillId="0" borderId="60" xfId="0" applyBorder="1"/>
    <xf numFmtId="0" fontId="15" fillId="34" borderId="0" xfId="0" applyFont="1" applyFill="1" applyAlignment="1">
      <alignment horizontal="center" vertical="center"/>
    </xf>
    <xf numFmtId="0" fontId="0" fillId="0" borderId="19" xfId="0" applyBorder="1"/>
    <xf numFmtId="0" fontId="74" fillId="0" borderId="19" xfId="0" applyFont="1" applyBorder="1" applyAlignment="1">
      <alignment horizontal="center" vertical="center"/>
    </xf>
    <xf numFmtId="0" fontId="0" fillId="0" borderId="26" xfId="0" applyBorder="1"/>
    <xf numFmtId="0" fontId="0" fillId="0" borderId="29" xfId="0" applyBorder="1"/>
    <xf numFmtId="44" fontId="0" fillId="0" borderId="21" xfId="0" applyNumberFormat="1" applyBorder="1"/>
    <xf numFmtId="44" fontId="0" fillId="0" borderId="0" xfId="0" applyNumberFormat="1"/>
    <xf numFmtId="0" fontId="0" fillId="0" borderId="22" xfId="0" applyBorder="1"/>
    <xf numFmtId="0" fontId="0" fillId="0" borderId="21" xfId="0" applyBorder="1"/>
    <xf numFmtId="0" fontId="11" fillId="0" borderId="60" xfId="0" applyFont="1" applyBorder="1"/>
    <xf numFmtId="0" fontId="15" fillId="35" borderId="17" xfId="0" applyFont="1" applyFill="1" applyBorder="1" applyAlignment="1">
      <alignment horizontal="center" vertical="center"/>
    </xf>
    <xf numFmtId="0" fontId="15" fillId="35" borderId="16" xfId="0" applyFont="1" applyFill="1" applyBorder="1" applyAlignment="1">
      <alignment horizontal="center" vertical="center"/>
    </xf>
    <xf numFmtId="0" fontId="80" fillId="4" borderId="30" xfId="0" applyFont="1" applyFill="1" applyBorder="1" applyAlignment="1">
      <alignment horizontal="center" vertical="center"/>
    </xf>
    <xf numFmtId="166" fontId="14" fillId="4" borderId="16" xfId="0" applyNumberFormat="1" applyFont="1" applyFill="1" applyBorder="1" applyAlignment="1">
      <alignment horizontal="center" vertical="center"/>
    </xf>
    <xf numFmtId="166" fontId="14" fillId="4" borderId="7" xfId="0" applyNumberFormat="1" applyFont="1" applyFill="1" applyBorder="1" applyAlignment="1">
      <alignment horizontal="center" vertical="center" wrapText="1"/>
    </xf>
    <xf numFmtId="0" fontId="80" fillId="4" borderId="17" xfId="0" applyFont="1" applyFill="1" applyBorder="1" applyAlignment="1">
      <alignment horizontal="center" vertical="center"/>
    </xf>
    <xf numFmtId="166" fontId="20" fillId="4" borderId="10" xfId="0" applyNumberFormat="1" applyFont="1" applyFill="1" applyBorder="1" applyAlignment="1">
      <alignment horizontal="center" vertical="center"/>
    </xf>
    <xf numFmtId="166" fontId="20" fillId="4" borderId="11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0" borderId="26" xfId="0" applyBorder="1" applyAlignment="1">
      <alignment horizontal="center"/>
    </xf>
    <xf numFmtId="44" fontId="0" fillId="0" borderId="22" xfId="0" applyNumberFormat="1" applyBorder="1"/>
    <xf numFmtId="44" fontId="0" fillId="0" borderId="0" xfId="1" applyFont="1"/>
    <xf numFmtId="44" fontId="11" fillId="0" borderId="20" xfId="0" applyNumberFormat="1" applyFont="1" applyBorder="1"/>
    <xf numFmtId="44" fontId="11" fillId="0" borderId="22" xfId="0" applyNumberFormat="1" applyFont="1" applyBorder="1"/>
    <xf numFmtId="44" fontId="11" fillId="0" borderId="67" xfId="1" applyFont="1" applyBorder="1"/>
    <xf numFmtId="44" fontId="11" fillId="0" borderId="68" xfId="1" applyFont="1" applyBorder="1"/>
    <xf numFmtId="44" fontId="11" fillId="0" borderId="62" xfId="1" applyFont="1" applyBorder="1"/>
    <xf numFmtId="44" fontId="11" fillId="0" borderId="24" xfId="1" applyFont="1" applyFill="1" applyBorder="1"/>
    <xf numFmtId="0" fontId="81" fillId="0" borderId="63" xfId="0" applyFont="1" applyBorder="1" applyAlignment="1">
      <alignment horizontal="right"/>
    </xf>
    <xf numFmtId="44" fontId="0" fillId="0" borderId="20" xfId="0" applyNumberFormat="1" applyBorder="1"/>
    <xf numFmtId="44" fontId="11" fillId="0" borderId="23" xfId="1" applyFont="1" applyBorder="1"/>
    <xf numFmtId="44" fontId="0" fillId="0" borderId="24" xfId="1" applyFont="1" applyBorder="1"/>
    <xf numFmtId="0" fontId="81" fillId="0" borderId="68" xfId="0" applyFont="1" applyBorder="1" applyAlignment="1">
      <alignment horizontal="right"/>
    </xf>
    <xf numFmtId="44" fontId="0" fillId="0" borderId="64" xfId="0" applyNumberFormat="1" applyBorder="1"/>
    <xf numFmtId="44" fontId="0" fillId="0" borderId="23" xfId="1" applyFont="1" applyBorder="1"/>
    <xf numFmtId="0" fontId="11" fillId="0" borderId="68" xfId="0" applyFont="1" applyBorder="1"/>
    <xf numFmtId="0" fontId="81" fillId="0" borderId="62" xfId="0" applyFont="1" applyBorder="1" applyAlignment="1">
      <alignment horizontal="right"/>
    </xf>
    <xf numFmtId="0" fontId="11" fillId="0" borderId="18" xfId="0" applyFont="1" applyBorder="1"/>
    <xf numFmtId="0" fontId="82" fillId="0" borderId="25" xfId="0" applyFont="1" applyBorder="1"/>
    <xf numFmtId="44" fontId="18" fillId="36" borderId="69" xfId="0" applyNumberFormat="1" applyFont="1" applyFill="1" applyBorder="1"/>
    <xf numFmtId="166" fontId="20" fillId="4" borderId="7" xfId="0" applyNumberFormat="1" applyFont="1" applyFill="1" applyBorder="1" applyAlignment="1">
      <alignment horizontal="center" vertical="center"/>
    </xf>
    <xf numFmtId="166" fontId="50" fillId="4" borderId="7" xfId="0" applyNumberFormat="1" applyFont="1" applyFill="1" applyBorder="1" applyAlignment="1">
      <alignment horizontal="center" vertical="center"/>
    </xf>
    <xf numFmtId="0" fontId="15" fillId="38" borderId="15" xfId="0" applyFont="1" applyFill="1" applyBorder="1" applyAlignment="1">
      <alignment horizontal="center" vertical="center"/>
    </xf>
    <xf numFmtId="166" fontId="20" fillId="39" borderId="6" xfId="0" applyNumberFormat="1" applyFont="1" applyFill="1" applyBorder="1" applyAlignment="1">
      <alignment horizontal="center" vertical="center"/>
    </xf>
    <xf numFmtId="0" fontId="85" fillId="38" borderId="1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/>
    <xf numFmtId="166" fontId="16" fillId="39" borderId="21" xfId="0" applyNumberFormat="1" applyFont="1" applyFill="1" applyBorder="1" applyAlignment="1">
      <alignment horizontal="center" vertical="center"/>
    </xf>
    <xf numFmtId="0" fontId="16" fillId="38" borderId="60" xfId="0" applyFont="1" applyFill="1" applyBorder="1" applyAlignment="1">
      <alignment horizontal="center" vertical="center"/>
    </xf>
    <xf numFmtId="0" fontId="31" fillId="40" borderId="22" xfId="0" applyFont="1" applyFill="1" applyBorder="1" applyAlignment="1">
      <alignment horizontal="left"/>
    </xf>
    <xf numFmtId="0" fontId="0" fillId="40" borderId="0" xfId="0" applyFill="1"/>
    <xf numFmtId="0" fontId="11" fillId="40" borderId="66" xfId="0" applyFont="1" applyFill="1" applyBorder="1"/>
    <xf numFmtId="0" fontId="0" fillId="40" borderId="29" xfId="0" applyFill="1" applyBorder="1"/>
    <xf numFmtId="44" fontId="0" fillId="40" borderId="0" xfId="0" applyNumberFormat="1" applyFill="1"/>
    <xf numFmtId="0" fontId="81" fillId="40" borderId="66" xfId="0" applyFont="1" applyFill="1" applyBorder="1"/>
    <xf numFmtId="0" fontId="0" fillId="0" borderId="19" xfId="0" applyBorder="1" applyAlignment="1">
      <alignment horizontal="right"/>
    </xf>
    <xf numFmtId="0" fontId="50" fillId="13" borderId="70" xfId="0" applyFont="1" applyFill="1" applyBorder="1" applyAlignment="1">
      <alignment horizontal="center" vertical="center"/>
    </xf>
    <xf numFmtId="0" fontId="50" fillId="13" borderId="71" xfId="0" applyFont="1" applyFill="1" applyBorder="1" applyAlignment="1">
      <alignment horizontal="center" vertical="center"/>
    </xf>
    <xf numFmtId="0" fontId="83" fillId="13" borderId="72" xfId="0" applyFont="1" applyFill="1" applyBorder="1" applyAlignment="1">
      <alignment horizontal="center" vertical="center"/>
    </xf>
    <xf numFmtId="0" fontId="18" fillId="0" borderId="73" xfId="0" applyFont="1" applyBorder="1" applyAlignment="1">
      <alignment horizontal="center"/>
    </xf>
    <xf numFmtId="0" fontId="18" fillId="0" borderId="74" xfId="0" applyFont="1" applyBorder="1" applyAlignment="1">
      <alignment horizontal="center"/>
    </xf>
    <xf numFmtId="44" fontId="31" fillId="0" borderId="75" xfId="0" applyNumberFormat="1" applyFont="1" applyBorder="1"/>
    <xf numFmtId="44" fontId="31" fillId="0" borderId="76" xfId="0" applyNumberFormat="1" applyFont="1" applyBorder="1"/>
    <xf numFmtId="44" fontId="31" fillId="0" borderId="77" xfId="0" applyNumberFormat="1" applyFont="1" applyBorder="1"/>
    <xf numFmtId="0" fontId="18" fillId="0" borderId="0" xfId="0" applyFont="1"/>
    <xf numFmtId="0" fontId="51" fillId="24" borderId="32" xfId="0" applyFont="1" applyFill="1" applyBorder="1"/>
    <xf numFmtId="0" fontId="18" fillId="41" borderId="78" xfId="0" applyFont="1" applyFill="1" applyBorder="1"/>
    <xf numFmtId="0" fontId="51" fillId="24" borderId="79" xfId="0" applyFont="1" applyFill="1" applyBorder="1"/>
    <xf numFmtId="0" fontId="74" fillId="41" borderId="19" xfId="0" applyFont="1" applyFill="1" applyBorder="1"/>
    <xf numFmtId="0" fontId="82" fillId="42" borderId="78" xfId="0" applyFont="1" applyFill="1" applyBorder="1"/>
    <xf numFmtId="0" fontId="82" fillId="42" borderId="80" xfId="0" applyFont="1" applyFill="1" applyBorder="1"/>
    <xf numFmtId="0" fontId="40" fillId="43" borderId="27" xfId="0" applyFont="1" applyFill="1" applyBorder="1" applyAlignment="1">
      <alignment horizontal="center"/>
    </xf>
    <xf numFmtId="0" fontId="74" fillId="41" borderId="18" xfId="0" applyFont="1" applyFill="1" applyBorder="1"/>
    <xf numFmtId="0" fontId="50" fillId="44" borderId="78" xfId="0" applyFont="1" applyFill="1" applyBorder="1"/>
    <xf numFmtId="0" fontId="51" fillId="24" borderId="81" xfId="0" applyFont="1" applyFill="1" applyBorder="1" applyAlignment="1">
      <alignment horizontal="right"/>
    </xf>
    <xf numFmtId="0" fontId="31" fillId="36" borderId="27" xfId="0" applyFont="1" applyFill="1" applyBorder="1" applyAlignment="1">
      <alignment horizontal="center" vertical="center"/>
    </xf>
    <xf numFmtId="14" fontId="31" fillId="12" borderId="0" xfId="0" applyNumberFormat="1" applyFont="1" applyFill="1"/>
    <xf numFmtId="0" fontId="0" fillId="12" borderId="0" xfId="0" applyFill="1"/>
    <xf numFmtId="14" fontId="31" fillId="0" borderId="74" xfId="0" applyNumberFormat="1" applyFont="1" applyBorder="1"/>
    <xf numFmtId="0" fontId="0" fillId="12" borderId="82" xfId="0" applyFill="1" applyBorder="1"/>
    <xf numFmtId="0" fontId="0" fillId="12" borderId="83" xfId="0" applyFill="1" applyBorder="1"/>
    <xf numFmtId="0" fontId="31" fillId="36" borderId="27" xfId="0" applyFont="1" applyFill="1" applyBorder="1"/>
    <xf numFmtId="0" fontId="51" fillId="24" borderId="84" xfId="0" applyFont="1" applyFill="1" applyBorder="1"/>
    <xf numFmtId="0" fontId="51" fillId="24" borderId="74" xfId="0" applyFont="1" applyFill="1" applyBorder="1"/>
    <xf numFmtId="14" fontId="31" fillId="0" borderId="85" xfId="0" applyNumberFormat="1" applyFont="1" applyBorder="1"/>
    <xf numFmtId="0" fontId="31" fillId="37" borderId="27" xfId="0" applyFont="1" applyFill="1" applyBorder="1"/>
    <xf numFmtId="0" fontId="49" fillId="21" borderId="30" xfId="0" applyFont="1" applyFill="1" applyBorder="1" applyAlignment="1">
      <alignment horizontal="center" vertical="center"/>
    </xf>
    <xf numFmtId="44" fontId="0" fillId="0" borderId="26" xfId="0" applyNumberFormat="1" applyBorder="1"/>
    <xf numFmtId="44" fontId="74" fillId="0" borderId="19" xfId="0" applyNumberFormat="1" applyFont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44" fontId="0" fillId="0" borderId="66" xfId="0" applyNumberFormat="1" applyBorder="1"/>
    <xf numFmtId="0" fontId="36" fillId="0" borderId="0" xfId="0" applyFont="1"/>
    <xf numFmtId="44" fontId="28" fillId="0" borderId="0" xfId="0" applyNumberFormat="1" applyFont="1"/>
    <xf numFmtId="44" fontId="28" fillId="0" borderId="18" xfId="0" applyNumberFormat="1" applyFont="1" applyBorder="1"/>
    <xf numFmtId="0" fontId="36" fillId="0" borderId="86" xfId="0" applyFont="1" applyBorder="1"/>
    <xf numFmtId="44" fontId="28" fillId="0" borderId="87" xfId="0" applyNumberFormat="1" applyFont="1" applyBorder="1"/>
    <xf numFmtId="44" fontId="28" fillId="0" borderId="88" xfId="0" applyNumberFormat="1" applyFont="1" applyBorder="1"/>
    <xf numFmtId="0" fontId="28" fillId="0" borderId="82" xfId="0" applyFont="1" applyBorder="1"/>
    <xf numFmtId="44" fontId="28" fillId="0" borderId="65" xfId="0" applyNumberFormat="1" applyFont="1" applyBorder="1"/>
    <xf numFmtId="0" fontId="28" fillId="0" borderId="83" xfId="0" applyFont="1" applyBorder="1"/>
    <xf numFmtId="44" fontId="28" fillId="0" borderId="89" xfId="0" applyNumberFormat="1" applyFont="1" applyBorder="1"/>
    <xf numFmtId="44" fontId="28" fillId="0" borderId="90" xfId="0" applyNumberFormat="1" applyFont="1" applyBorder="1"/>
    <xf numFmtId="0" fontId="41" fillId="3" borderId="8" xfId="0" applyFont="1" applyFill="1" applyBorder="1" applyAlignment="1">
      <alignment horizontal="center"/>
    </xf>
    <xf numFmtId="0" fontId="41" fillId="3" borderId="13" xfId="0" applyFont="1" applyFill="1" applyBorder="1" applyAlignment="1">
      <alignment horizontal="center"/>
    </xf>
    <xf numFmtId="0" fontId="41" fillId="3" borderId="9" xfId="0" applyFont="1" applyFill="1" applyBorder="1" applyAlignment="1">
      <alignment horizontal="center"/>
    </xf>
    <xf numFmtId="0" fontId="18" fillId="41" borderId="83" xfId="0" applyFont="1" applyFill="1" applyBorder="1"/>
    <xf numFmtId="0" fontId="51" fillId="24" borderId="62" xfId="0" applyFont="1" applyFill="1" applyBorder="1"/>
    <xf numFmtId="0" fontId="0" fillId="0" borderId="82" xfId="0" applyBorder="1"/>
    <xf numFmtId="0" fontId="86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9" fillId="21" borderId="0" xfId="0" applyFont="1" applyFill="1" applyAlignment="1">
      <alignment vertical="center"/>
    </xf>
    <xf numFmtId="0" fontId="49" fillId="45" borderId="61" xfId="0" applyFont="1" applyFill="1" applyBorder="1" applyAlignment="1">
      <alignment vertical="center"/>
    </xf>
    <xf numFmtId="0" fontId="0" fillId="46" borderId="62" xfId="0" applyFill="1" applyBorder="1"/>
    <xf numFmtId="0" fontId="0" fillId="15" borderId="62" xfId="0" applyFill="1" applyBorder="1"/>
    <xf numFmtId="0" fontId="0" fillId="15" borderId="63" xfId="0" applyFill="1" applyBorder="1"/>
    <xf numFmtId="0" fontId="87" fillId="4" borderId="4" xfId="0" applyFont="1" applyFill="1" applyBorder="1" applyAlignment="1">
      <alignment horizontal="center" vertical="center"/>
    </xf>
    <xf numFmtId="0" fontId="5" fillId="47" borderId="4" xfId="0" applyFont="1" applyFill="1" applyBorder="1" applyAlignment="1">
      <alignment horizontal="center" vertical="center"/>
    </xf>
    <xf numFmtId="0" fontId="80" fillId="4" borderId="0" xfId="0" applyFont="1" applyFill="1" applyAlignment="1">
      <alignment horizontal="center" vertical="center"/>
    </xf>
    <xf numFmtId="0" fontId="16" fillId="0" borderId="19" xfId="0" applyFont="1" applyBorder="1"/>
    <xf numFmtId="0" fontId="18" fillId="43" borderId="15" xfId="0" applyFont="1" applyFill="1" applyBorder="1" applyAlignment="1">
      <alignment horizontal="left"/>
    </xf>
    <xf numFmtId="0" fontId="18" fillId="52" borderId="15" xfId="0" applyFont="1" applyFill="1" applyBorder="1" applyAlignment="1">
      <alignment horizontal="left"/>
    </xf>
    <xf numFmtId="0" fontId="16" fillId="53" borderId="4" xfId="0" applyFont="1" applyFill="1" applyBorder="1" applyAlignment="1">
      <alignment horizontal="left"/>
    </xf>
    <xf numFmtId="0" fontId="20" fillId="50" borderId="15" xfId="0" applyFont="1" applyFill="1" applyBorder="1" applyAlignment="1">
      <alignment horizontal="left"/>
    </xf>
    <xf numFmtId="0" fontId="18" fillId="54" borderId="15" xfId="0" applyFont="1" applyFill="1" applyBorder="1" applyAlignment="1">
      <alignment horizontal="left"/>
    </xf>
    <xf numFmtId="0" fontId="16" fillId="55" borderId="4" xfId="0" applyFont="1" applyFill="1" applyBorder="1" applyAlignment="1">
      <alignment horizontal="left"/>
    </xf>
    <xf numFmtId="0" fontId="20" fillId="56" borderId="4" xfId="0" applyFont="1" applyFill="1" applyBorder="1" applyAlignment="1">
      <alignment horizontal="left"/>
    </xf>
    <xf numFmtId="0" fontId="18" fillId="57" borderId="4" xfId="0" applyFont="1" applyFill="1" applyBorder="1" applyAlignment="1">
      <alignment horizontal="left"/>
    </xf>
    <xf numFmtId="0" fontId="16" fillId="58" borderId="4" xfId="0" applyFont="1" applyFill="1" applyBorder="1" applyAlignment="1">
      <alignment horizontal="left"/>
    </xf>
    <xf numFmtId="0" fontId="18" fillId="51" borderId="4" xfId="0" applyFont="1" applyFill="1" applyBorder="1" applyAlignment="1">
      <alignment horizontal="left"/>
    </xf>
    <xf numFmtId="0" fontId="31" fillId="27" borderId="4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left" wrapText="1"/>
    </xf>
    <xf numFmtId="0" fontId="95" fillId="0" borderId="0" xfId="0" applyFont="1" applyAlignment="1">
      <alignment horizontal="center"/>
    </xf>
    <xf numFmtId="0" fontId="1" fillId="3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26" fillId="42" borderId="4" xfId="0" applyFont="1" applyFill="1" applyBorder="1"/>
    <xf numFmtId="0" fontId="98" fillId="42" borderId="4" xfId="0" applyFont="1" applyFill="1" applyBorder="1"/>
    <xf numFmtId="0" fontId="27" fillId="0" borderId="4" xfId="0" applyFont="1" applyBorder="1" applyAlignment="1">
      <alignment horizontal="right"/>
    </xf>
    <xf numFmtId="0" fontId="30" fillId="0" borderId="4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30" fillId="0" borderId="14" xfId="0" applyFont="1" applyBorder="1" applyAlignment="1">
      <alignment wrapText="1"/>
    </xf>
    <xf numFmtId="0" fontId="27" fillId="0" borderId="92" xfId="0" applyFont="1" applyBorder="1" applyAlignment="1">
      <alignment horizontal="right"/>
    </xf>
    <xf numFmtId="0" fontId="30" fillId="0" borderId="93" xfId="0" applyFont="1" applyBorder="1"/>
    <xf numFmtId="0" fontId="98" fillId="42" borderId="8" xfId="0" applyFont="1" applyFill="1" applyBorder="1" applyAlignment="1">
      <alignment horizontal="left"/>
    </xf>
    <xf numFmtId="0" fontId="30" fillId="0" borderId="8" xfId="0" applyFont="1" applyBorder="1"/>
    <xf numFmtId="0" fontId="30" fillId="0" borderId="5" xfId="0" applyFont="1" applyBorder="1"/>
    <xf numFmtId="0" fontId="31" fillId="0" borderId="66" xfId="0" applyFont="1" applyBorder="1"/>
    <xf numFmtId="14" fontId="0" fillId="0" borderId="19" xfId="0" applyNumberFormat="1" applyBorder="1"/>
    <xf numFmtId="14" fontId="11" fillId="0" borderId="19" xfId="0" applyNumberFormat="1" applyFont="1" applyBorder="1"/>
    <xf numFmtId="0" fontId="98" fillId="41" borderId="94" xfId="0" applyFont="1" applyFill="1" applyBorder="1" applyAlignment="1">
      <alignment horizontal="center"/>
    </xf>
    <xf numFmtId="0" fontId="26" fillId="41" borderId="94" xfId="0" applyFont="1" applyFill="1" applyBorder="1" applyAlignment="1">
      <alignment horizontal="center"/>
    </xf>
    <xf numFmtId="0" fontId="30" fillId="0" borderId="17" xfId="0" applyFont="1" applyBorder="1"/>
    <xf numFmtId="0" fontId="30" fillId="0" borderId="30" xfId="0" applyFont="1" applyBorder="1"/>
    <xf numFmtId="0" fontId="32" fillId="10" borderId="0" xfId="0" applyFont="1" applyFill="1" applyAlignment="1">
      <alignment horizontal="center"/>
    </xf>
    <xf numFmtId="0" fontId="51" fillId="24" borderId="95" xfId="0" applyFont="1" applyFill="1" applyBorder="1"/>
    <xf numFmtId="164" fontId="17" fillId="3" borderId="36" xfId="0" applyNumberFormat="1" applyFont="1" applyFill="1" applyBorder="1" applyAlignment="1">
      <alignment horizontal="right"/>
    </xf>
    <xf numFmtId="0" fontId="74" fillId="41" borderId="0" xfId="0" applyFont="1" applyFill="1"/>
    <xf numFmtId="0" fontId="51" fillId="29" borderId="32" xfId="0" applyFont="1" applyFill="1" applyBorder="1" applyAlignment="1">
      <alignment wrapText="1"/>
    </xf>
    <xf numFmtId="0" fontId="31" fillId="36" borderId="78" xfId="0" applyFont="1" applyFill="1" applyBorder="1"/>
    <xf numFmtId="0" fontId="82" fillId="42" borderId="91" xfId="0" applyFont="1" applyFill="1" applyBorder="1"/>
    <xf numFmtId="0" fontId="51" fillId="24" borderId="96" xfId="0" applyFont="1" applyFill="1" applyBorder="1"/>
    <xf numFmtId="0" fontId="51" fillId="29" borderId="19" xfId="0" applyFont="1" applyFill="1" applyBorder="1" applyAlignment="1">
      <alignment wrapText="1"/>
    </xf>
    <xf numFmtId="0" fontId="51" fillId="24" borderId="97" xfId="0" applyFont="1" applyFill="1" applyBorder="1"/>
    <xf numFmtId="0" fontId="51" fillId="29" borderId="33" xfId="0" applyFont="1" applyFill="1" applyBorder="1"/>
    <xf numFmtId="0" fontId="51" fillId="29" borderId="31" xfId="0" applyFont="1" applyFill="1" applyBorder="1"/>
    <xf numFmtId="0" fontId="51" fillId="29" borderId="34" xfId="0" applyFont="1" applyFill="1" applyBorder="1"/>
    <xf numFmtId="0" fontId="51" fillId="29" borderId="35" xfId="0" applyFont="1" applyFill="1" applyBorder="1"/>
    <xf numFmtId="0" fontId="50" fillId="44" borderId="0" xfId="0" applyFont="1" applyFill="1"/>
    <xf numFmtId="14" fontId="31" fillId="0" borderId="98" xfId="0" applyNumberFormat="1" applyFont="1" applyBorder="1"/>
    <xf numFmtId="44" fontId="100" fillId="0" borderId="19" xfId="1" applyFont="1" applyBorder="1" applyAlignment="1">
      <alignment vertical="center"/>
    </xf>
    <xf numFmtId="44" fontId="28" fillId="0" borderId="0" xfId="1" applyFont="1"/>
    <xf numFmtId="0" fontId="0" fillId="0" borderId="88" xfId="0" applyBorder="1"/>
    <xf numFmtId="44" fontId="31" fillId="0" borderId="65" xfId="1" applyFont="1" applyBorder="1"/>
    <xf numFmtId="0" fontId="31" fillId="0" borderId="65" xfId="0" applyFont="1" applyBorder="1"/>
    <xf numFmtId="0" fontId="0" fillId="0" borderId="65" xfId="0" applyBorder="1"/>
    <xf numFmtId="0" fontId="0" fillId="0" borderId="99" xfId="0" applyBorder="1"/>
    <xf numFmtId="0" fontId="32" fillId="10" borderId="25" xfId="2" applyFont="1" applyFill="1" applyBorder="1" applyAlignment="1">
      <alignment horizontal="center"/>
    </xf>
    <xf numFmtId="169" fontId="28" fillId="11" borderId="19" xfId="0" applyNumberFormat="1" applyFont="1" applyFill="1" applyBorder="1"/>
    <xf numFmtId="44" fontId="31" fillId="0" borderId="19" xfId="1" applyFont="1" applyBorder="1"/>
    <xf numFmtId="44" fontId="11" fillId="0" borderId="68" xfId="0" applyNumberFormat="1" applyFont="1" applyBorder="1"/>
    <xf numFmtId="44" fontId="11" fillId="0" borderId="27" xfId="0" applyNumberFormat="1" applyFont="1" applyBorder="1"/>
    <xf numFmtId="44" fontId="31" fillId="0" borderId="100" xfId="0" applyNumberFormat="1" applyFont="1" applyBorder="1"/>
    <xf numFmtId="44" fontId="0" fillId="0" borderId="19" xfId="0" applyNumberFormat="1" applyBorder="1"/>
    <xf numFmtId="0" fontId="28" fillId="0" borderId="66" xfId="0" applyFont="1" applyBorder="1"/>
    <xf numFmtId="0" fontId="28" fillId="0" borderId="101" xfId="0" applyFont="1" applyBorder="1"/>
    <xf numFmtId="44" fontId="28" fillId="11" borderId="100" xfId="0" applyNumberFormat="1" applyFont="1" applyFill="1" applyBorder="1"/>
    <xf numFmtId="44" fontId="0" fillId="0" borderId="65" xfId="1" applyFont="1" applyBorder="1"/>
    <xf numFmtId="169" fontId="33" fillId="10" borderId="102" xfId="2" applyNumberFormat="1" applyFont="1" applyFill="1" applyBorder="1" applyAlignment="1">
      <alignment horizontal="right" vertical="center"/>
    </xf>
    <xf numFmtId="169" fontId="28" fillId="0" borderId="18" xfId="0" applyNumberFormat="1" applyFont="1" applyBorder="1"/>
    <xf numFmtId="0" fontId="103" fillId="60" borderId="27" xfId="0" applyFont="1" applyFill="1" applyBorder="1"/>
    <xf numFmtId="44" fontId="28" fillId="11" borderId="103" xfId="0" applyNumberFormat="1" applyFont="1" applyFill="1" applyBorder="1"/>
    <xf numFmtId="44" fontId="100" fillId="0" borderId="26" xfId="1" applyFont="1" applyBorder="1"/>
    <xf numFmtId="166" fontId="20" fillId="4" borderId="8" xfId="0" applyNumberFormat="1" applyFont="1" applyFill="1" applyBorder="1"/>
    <xf numFmtId="0" fontId="21" fillId="0" borderId="13" xfId="0" applyFont="1" applyBorder="1"/>
    <xf numFmtId="0" fontId="21" fillId="0" borderId="9" xfId="0" applyFont="1" applyBorder="1"/>
    <xf numFmtId="166" fontId="20" fillId="16" borderId="8" xfId="0" applyNumberFormat="1" applyFont="1" applyFill="1" applyBorder="1"/>
    <xf numFmtId="0" fontId="21" fillId="17" borderId="13" xfId="0" applyFont="1" applyFill="1" applyBorder="1"/>
    <xf numFmtId="0" fontId="21" fillId="17" borderId="9" xfId="0" applyFont="1" applyFill="1" applyBorder="1"/>
    <xf numFmtId="166" fontId="20" fillId="19" borderId="8" xfId="0" applyNumberFormat="1" applyFont="1" applyFill="1" applyBorder="1"/>
    <xf numFmtId="0" fontId="45" fillId="0" borderId="13" xfId="0" applyFont="1" applyBorder="1"/>
    <xf numFmtId="0" fontId="45" fillId="0" borderId="9" xfId="0" applyFont="1" applyBorder="1"/>
    <xf numFmtId="0" fontId="55" fillId="4" borderId="8" xfId="0" applyFont="1" applyFill="1" applyBorder="1" applyAlignment="1">
      <alignment horizontal="center"/>
    </xf>
    <xf numFmtId="0" fontId="56" fillId="0" borderId="13" xfId="0" applyFont="1" applyBorder="1"/>
    <xf numFmtId="0" fontId="56" fillId="0" borderId="9" xfId="0" applyFont="1" applyBorder="1"/>
    <xf numFmtId="0" fontId="25" fillId="4" borderId="8" xfId="0" applyFont="1" applyFill="1" applyBorder="1" applyAlignment="1">
      <alignment horizontal="center"/>
    </xf>
    <xf numFmtId="0" fontId="23" fillId="0" borderId="13" xfId="0" applyFont="1" applyBorder="1"/>
    <xf numFmtId="0" fontId="23" fillId="0" borderId="9" xfId="0" applyFont="1" applyBorder="1"/>
    <xf numFmtId="166" fontId="20" fillId="4" borderId="8" xfId="0" applyNumberFormat="1" applyFont="1" applyFill="1" applyBorder="1" applyAlignment="1">
      <alignment horizontal="right"/>
    </xf>
    <xf numFmtId="0" fontId="9" fillId="0" borderId="8" xfId="0" applyFont="1" applyBorder="1"/>
    <xf numFmtId="0" fontId="8" fillId="0" borderId="9" xfId="0" applyFont="1" applyBorder="1"/>
    <xf numFmtId="0" fontId="10" fillId="0" borderId="8" xfId="0" applyFont="1" applyBorder="1"/>
    <xf numFmtId="0" fontId="96" fillId="20" borderId="0" xfId="0" applyFont="1" applyFill="1" applyAlignment="1">
      <alignment horizontal="center" vertical="center"/>
    </xf>
    <xf numFmtId="0" fontId="97" fillId="17" borderId="0" xfId="0" applyFont="1" applyFill="1"/>
    <xf numFmtId="0" fontId="57" fillId="16" borderId="5" xfId="0" applyFont="1" applyFill="1" applyBorder="1" applyAlignment="1">
      <alignment horizontal="center"/>
    </xf>
    <xf numFmtId="0" fontId="58" fillId="17" borderId="6" xfId="0" applyFont="1" applyFill="1" applyBorder="1"/>
    <xf numFmtId="0" fontId="58" fillId="17" borderId="7" xfId="0" applyFont="1" applyFill="1" applyBorder="1"/>
    <xf numFmtId="0" fontId="70" fillId="16" borderId="5" xfId="0" applyFont="1" applyFill="1" applyBorder="1" applyAlignment="1">
      <alignment horizontal="center" vertical="center"/>
    </xf>
    <xf numFmtId="0" fontId="71" fillId="17" borderId="6" xfId="0" applyFont="1" applyFill="1" applyBorder="1" applyAlignment="1">
      <alignment vertical="center"/>
    </xf>
    <xf numFmtId="0" fontId="24" fillId="12" borderId="19" xfId="0" applyFont="1" applyFill="1" applyBorder="1" applyAlignment="1">
      <alignment horizontal="center"/>
    </xf>
    <xf numFmtId="0" fontId="21" fillId="12" borderId="19" xfId="0" applyFont="1" applyFill="1" applyBorder="1" applyAlignment="1">
      <alignment horizontal="center"/>
    </xf>
    <xf numFmtId="0" fontId="99" fillId="49" borderId="10" xfId="0" applyFont="1" applyFill="1" applyBorder="1" applyAlignment="1">
      <alignment horizontal="left"/>
    </xf>
    <xf numFmtId="0" fontId="99" fillId="49" borderId="12" xfId="0" applyFont="1" applyFill="1" applyBorder="1" applyAlignment="1">
      <alignment horizontal="left"/>
    </xf>
    <xf numFmtId="0" fontId="99" fillId="49" borderId="11" xfId="0" applyFont="1" applyFill="1" applyBorder="1" applyAlignment="1">
      <alignment horizontal="left"/>
    </xf>
    <xf numFmtId="0" fontId="85" fillId="59" borderId="82" xfId="0" applyFont="1" applyFill="1" applyBorder="1" applyAlignment="1">
      <alignment horizontal="center"/>
    </xf>
    <xf numFmtId="0" fontId="85" fillId="59" borderId="0" xfId="0" applyFont="1" applyFill="1" applyAlignment="1">
      <alignment horizontal="center"/>
    </xf>
    <xf numFmtId="0" fontId="20" fillId="13" borderId="21" xfId="0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80" fillId="4" borderId="30" xfId="0" applyFont="1" applyFill="1" applyBorder="1" applyAlignment="1">
      <alignment horizontal="center" vertical="center"/>
    </xf>
    <xf numFmtId="166" fontId="20" fillId="4" borderId="8" xfId="0" applyNumberFormat="1" applyFont="1" applyFill="1" applyBorder="1" applyAlignment="1">
      <alignment horizontal="center" vertical="center"/>
    </xf>
    <xf numFmtId="166" fontId="20" fillId="4" borderId="9" xfId="0" applyNumberFormat="1" applyFont="1" applyFill="1" applyBorder="1" applyAlignment="1">
      <alignment horizontal="center" vertical="center"/>
    </xf>
    <xf numFmtId="0" fontId="80" fillId="4" borderId="14" xfId="0" applyFont="1" applyFill="1" applyBorder="1" applyAlignment="1">
      <alignment horizontal="center" vertical="center"/>
    </xf>
    <xf numFmtId="0" fontId="80" fillId="4" borderId="15" xfId="0" applyFont="1" applyFill="1" applyBorder="1" applyAlignment="1">
      <alignment horizontal="center" vertical="center"/>
    </xf>
    <xf numFmtId="0" fontId="50" fillId="13" borderId="0" xfId="0" applyFont="1" applyFill="1" applyAlignment="1">
      <alignment horizontal="center" vertical="center"/>
    </xf>
    <xf numFmtId="0" fontId="69" fillId="4" borderId="8" xfId="0" applyFont="1" applyFill="1" applyBorder="1" applyAlignment="1">
      <alignment horizontal="center" vertical="center"/>
    </xf>
    <xf numFmtId="0" fontId="84" fillId="4" borderId="13" xfId="0" applyFont="1" applyFill="1" applyBorder="1" applyAlignment="1">
      <alignment horizontal="center" vertical="center"/>
    </xf>
    <xf numFmtId="0" fontId="84" fillId="4" borderId="9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166" fontId="16" fillId="37" borderId="8" xfId="0" applyNumberFormat="1" applyFont="1" applyFill="1" applyBorder="1" applyAlignment="1">
      <alignment horizontal="center" vertical="center"/>
    </xf>
    <xf numFmtId="166" fontId="16" fillId="37" borderId="9" xfId="0" applyNumberFormat="1" applyFont="1" applyFill="1" applyBorder="1" applyAlignment="1">
      <alignment horizontal="center" vertical="center"/>
    </xf>
    <xf numFmtId="0" fontId="69" fillId="4" borderId="8" xfId="0" applyFont="1" applyFill="1" applyBorder="1" applyAlignment="1">
      <alignment horizontal="left" vertical="center"/>
    </xf>
    <xf numFmtId="0" fontId="84" fillId="4" borderId="13" xfId="0" applyFont="1" applyFill="1" applyBorder="1" applyAlignment="1">
      <alignment horizontal="left" vertical="center"/>
    </xf>
    <xf numFmtId="0" fontId="84" fillId="4" borderId="9" xfId="0" applyFont="1" applyFill="1" applyBorder="1" applyAlignment="1">
      <alignment horizontal="left" vertical="center"/>
    </xf>
    <xf numFmtId="0" fontId="41" fillId="3" borderId="8" xfId="0" applyFont="1" applyFill="1" applyBorder="1" applyAlignment="1">
      <alignment horizontal="center"/>
    </xf>
    <xf numFmtId="0" fontId="41" fillId="3" borderId="13" xfId="0" applyFont="1" applyFill="1" applyBorder="1" applyAlignment="1">
      <alignment horizontal="center"/>
    </xf>
    <xf numFmtId="0" fontId="41" fillId="3" borderId="9" xfId="0" applyFont="1" applyFill="1" applyBorder="1" applyAlignment="1">
      <alignment horizontal="center"/>
    </xf>
    <xf numFmtId="0" fontId="38" fillId="23" borderId="10" xfId="0" applyFont="1" applyFill="1" applyBorder="1" applyAlignment="1">
      <alignment horizontal="left"/>
    </xf>
    <xf numFmtId="0" fontId="42" fillId="17" borderId="13" xfId="0" applyFont="1" applyFill="1" applyBorder="1" applyAlignment="1">
      <alignment horizontal="left"/>
    </xf>
    <xf numFmtId="0" fontId="42" fillId="17" borderId="9" xfId="0" applyFont="1" applyFill="1" applyBorder="1" applyAlignment="1">
      <alignment horizontal="left"/>
    </xf>
    <xf numFmtId="0" fontId="38" fillId="23" borderId="8" xfId="0" applyFont="1" applyFill="1" applyBorder="1" applyAlignment="1">
      <alignment horizontal="left"/>
    </xf>
    <xf numFmtId="0" fontId="52" fillId="4" borderId="0" xfId="0" applyFont="1" applyFill="1" applyAlignment="1">
      <alignment horizontal="right"/>
    </xf>
    <xf numFmtId="0" fontId="50" fillId="0" borderId="0" xfId="0" applyFont="1"/>
    <xf numFmtId="0" fontId="38" fillId="23" borderId="5" xfId="0" applyFont="1" applyFill="1" applyBorder="1" applyAlignment="1">
      <alignment horizontal="left"/>
    </xf>
    <xf numFmtId="0" fontId="37" fillId="16" borderId="42" xfId="0" applyFont="1" applyFill="1" applyBorder="1" applyAlignment="1">
      <alignment vertical="center"/>
    </xf>
    <xf numFmtId="0" fontId="23" fillId="17" borderId="43" xfId="0" applyFont="1" applyFill="1" applyBorder="1" applyAlignment="1">
      <alignment vertical="center"/>
    </xf>
    <xf numFmtId="0" fontId="23" fillId="17" borderId="50" xfId="0" applyFont="1" applyFill="1" applyBorder="1" applyAlignment="1">
      <alignment vertical="center"/>
    </xf>
    <xf numFmtId="0" fontId="38" fillId="23" borderId="30" xfId="0" applyFont="1" applyFill="1" applyBorder="1" applyAlignment="1">
      <alignment horizontal="left" vertical="center"/>
    </xf>
    <xf numFmtId="0" fontId="42" fillId="17" borderId="0" xfId="0" applyFont="1" applyFill="1" applyAlignment="1">
      <alignment horizontal="left"/>
    </xf>
    <xf numFmtId="0" fontId="42" fillId="17" borderId="16" xfId="0" applyFont="1" applyFill="1" applyBorder="1" applyAlignment="1">
      <alignment horizontal="left"/>
    </xf>
    <xf numFmtId="0" fontId="42" fillId="17" borderId="12" xfId="0" applyFont="1" applyFill="1" applyBorder="1" applyAlignment="1">
      <alignment horizontal="left"/>
    </xf>
    <xf numFmtId="0" fontId="42" fillId="17" borderId="11" xfId="0" applyFont="1" applyFill="1" applyBorder="1" applyAlignment="1">
      <alignment horizontal="left"/>
    </xf>
    <xf numFmtId="0" fontId="54" fillId="22" borderId="5" xfId="0" applyFont="1" applyFill="1" applyBorder="1" applyAlignment="1">
      <alignment horizontal="center" vertical="center"/>
    </xf>
    <xf numFmtId="0" fontId="54" fillId="22" borderId="6" xfId="0" applyFont="1" applyFill="1" applyBorder="1" applyAlignment="1">
      <alignment horizontal="center" vertical="center"/>
    </xf>
    <xf numFmtId="0" fontId="54" fillId="22" borderId="49" xfId="0" applyFont="1" applyFill="1" applyBorder="1" applyAlignment="1">
      <alignment horizontal="center" vertical="center"/>
    </xf>
    <xf numFmtId="0" fontId="54" fillId="22" borderId="42" xfId="0" applyFont="1" applyFill="1" applyBorder="1" applyAlignment="1">
      <alignment horizontal="center" vertical="center"/>
    </xf>
    <xf numFmtId="0" fontId="54" fillId="22" borderId="43" xfId="0" applyFont="1" applyFill="1" applyBorder="1" applyAlignment="1">
      <alignment horizontal="center" vertical="center"/>
    </xf>
    <xf numFmtId="0" fontId="54" fillId="22" borderId="50" xfId="0" applyFont="1" applyFill="1" applyBorder="1" applyAlignment="1">
      <alignment horizontal="center" vertical="center"/>
    </xf>
    <xf numFmtId="0" fontId="38" fillId="16" borderId="43" xfId="0" applyFont="1" applyFill="1" applyBorder="1" applyAlignment="1">
      <alignment horizontal="center" vertical="center"/>
    </xf>
    <xf numFmtId="0" fontId="38" fillId="16" borderId="50" xfId="0" applyFont="1" applyFill="1" applyBorder="1" applyAlignment="1">
      <alignment horizontal="center" vertical="center"/>
    </xf>
    <xf numFmtId="0" fontId="52" fillId="14" borderId="46" xfId="0" applyFont="1" applyFill="1" applyBorder="1" applyAlignment="1">
      <alignment horizontal="left" vertical="center"/>
    </xf>
    <xf numFmtId="0" fontId="38" fillId="14" borderId="47" xfId="0" applyFont="1" applyFill="1" applyBorder="1" applyAlignment="1">
      <alignment horizontal="left" vertical="center"/>
    </xf>
    <xf numFmtId="0" fontId="38" fillId="14" borderId="48" xfId="0" applyFont="1" applyFill="1" applyBorder="1" applyAlignment="1">
      <alignment horizontal="left" vertical="center"/>
    </xf>
    <xf numFmtId="0" fontId="82" fillId="36" borderId="78" xfId="0" applyFont="1" applyFill="1" applyBorder="1" applyAlignment="1">
      <alignment horizontal="center" vertical="center"/>
    </xf>
    <xf numFmtId="0" fontId="82" fillId="36" borderId="80" xfId="0" applyFont="1" applyFill="1" applyBorder="1" applyAlignment="1">
      <alignment horizontal="center" vertical="center"/>
    </xf>
    <xf numFmtId="0" fontId="40" fillId="43" borderId="78" xfId="0" applyFont="1" applyFill="1" applyBorder="1" applyAlignment="1">
      <alignment horizontal="center"/>
    </xf>
    <xf numFmtId="0" fontId="40" fillId="43" borderId="91" xfId="0" applyFont="1" applyFill="1" applyBorder="1" applyAlignment="1">
      <alignment horizontal="center"/>
    </xf>
    <xf numFmtId="0" fontId="40" fillId="43" borderId="80" xfId="0" applyFont="1" applyFill="1" applyBorder="1" applyAlignment="1">
      <alignment horizontal="center"/>
    </xf>
    <xf numFmtId="0" fontId="79" fillId="33" borderId="0" xfId="0" applyFont="1" applyFill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166" fontId="14" fillId="4" borderId="8" xfId="0" applyNumberFormat="1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8" fillId="0" borderId="15" xfId="0" applyFont="1" applyBorder="1"/>
    <xf numFmtId="0" fontId="88" fillId="37" borderId="78" xfId="0" applyFont="1" applyFill="1" applyBorder="1" applyAlignment="1">
      <alignment horizontal="center" vertical="center"/>
    </xf>
    <xf numFmtId="0" fontId="89" fillId="36" borderId="91" xfId="0" applyFont="1" applyFill="1" applyBorder="1"/>
    <xf numFmtId="0" fontId="89" fillId="36" borderId="80" xfId="0" applyFont="1" applyFill="1" applyBorder="1"/>
    <xf numFmtId="166" fontId="14" fillId="4" borderId="10" xfId="0" applyNumberFormat="1" applyFont="1" applyFill="1" applyBorder="1" applyAlignment="1">
      <alignment horizontal="center" vertical="center"/>
    </xf>
    <xf numFmtId="0" fontId="8" fillId="0" borderId="11" xfId="0" applyFont="1" applyBorder="1"/>
    <xf numFmtId="0" fontId="90" fillId="4" borderId="17" xfId="0" applyFont="1" applyFill="1" applyBorder="1" applyAlignment="1">
      <alignment horizontal="center" vertical="center"/>
    </xf>
    <xf numFmtId="0" fontId="91" fillId="0" borderId="15" xfId="0" applyFont="1" applyBorder="1"/>
    <xf numFmtId="0" fontId="84" fillId="4" borderId="0" xfId="0" applyFont="1" applyFill="1" applyAlignment="1">
      <alignment horizontal="center" vertical="center"/>
    </xf>
    <xf numFmtId="0" fontId="92" fillId="0" borderId="0" xfId="0" applyFont="1"/>
    <xf numFmtId="0" fontId="93" fillId="48" borderId="0" xfId="0" applyFont="1" applyFill="1" applyAlignment="1">
      <alignment horizontal="center" vertical="center"/>
    </xf>
    <xf numFmtId="0" fontId="94" fillId="49" borderId="0" xfId="0" applyFont="1" applyFill="1"/>
    <xf numFmtId="0" fontId="60" fillId="4" borderId="0" xfId="0" applyFont="1" applyFill="1" applyAlignment="1">
      <alignment horizontal="center" vertical="center"/>
    </xf>
    <xf numFmtId="0" fontId="60" fillId="0" borderId="0" xfId="0" applyFont="1"/>
    <xf numFmtId="0" fontId="5" fillId="0" borderId="8" xfId="0" applyFont="1" applyBorder="1"/>
    <xf numFmtId="0" fontId="8" fillId="0" borderId="13" xfId="0" applyFont="1" applyBorder="1"/>
    <xf numFmtId="0" fontId="61" fillId="4" borderId="0" xfId="0" applyFont="1" applyFill="1" applyAlignment="1">
      <alignment horizontal="center" vertical="center"/>
    </xf>
    <xf numFmtId="0" fontId="59" fillId="16" borderId="0" xfId="0" applyFont="1" applyFill="1" applyAlignment="1">
      <alignment horizontal="center" vertical="center"/>
    </xf>
    <xf numFmtId="0" fontId="60" fillId="17" borderId="0" xfId="0" applyFont="1" applyFill="1"/>
    <xf numFmtId="0" fontId="59" fillId="4" borderId="0" xfId="0" applyFont="1" applyFill="1" applyAlignment="1">
      <alignment horizontal="center" vertical="center"/>
    </xf>
    <xf numFmtId="0" fontId="15" fillId="47" borderId="8" xfId="0" applyFont="1" applyFill="1" applyBorder="1" applyAlignment="1">
      <alignment horizontal="center" vertical="center"/>
    </xf>
    <xf numFmtId="0" fontId="8" fillId="36" borderId="13" xfId="0" applyFont="1" applyFill="1" applyBorder="1"/>
    <xf numFmtId="0" fontId="8" fillId="36" borderId="9" xfId="0" applyFont="1" applyFill="1" applyBorder="1"/>
    <xf numFmtId="0" fontId="62" fillId="4" borderId="55" xfId="0" applyFont="1" applyFill="1" applyBorder="1" applyAlignment="1">
      <alignment horizontal="center" vertical="center"/>
    </xf>
    <xf numFmtId="0" fontId="63" fillId="0" borderId="58" xfId="0" applyFont="1" applyBorder="1"/>
    <xf numFmtId="0" fontId="63" fillId="0" borderId="57" xfId="0" applyFont="1" applyBorder="1"/>
    <xf numFmtId="0" fontId="57" fillId="16" borderId="52" xfId="0" applyFont="1" applyFill="1" applyBorder="1" applyAlignment="1">
      <alignment horizontal="center" vertical="center"/>
    </xf>
    <xf numFmtId="0" fontId="58" fillId="17" borderId="53" xfId="0" applyFont="1" applyFill="1" applyBorder="1"/>
    <xf numFmtId="0" fontId="58" fillId="17" borderId="54" xfId="0" applyFont="1" applyFill="1" applyBorder="1"/>
    <xf numFmtId="0" fontId="67" fillId="22" borderId="45" xfId="0" applyFont="1" applyFill="1" applyBorder="1" applyAlignment="1">
      <alignment horizontal="center" vertical="center"/>
    </xf>
    <xf numFmtId="0" fontId="67" fillId="28" borderId="45" xfId="0" applyFont="1" applyFill="1" applyBorder="1"/>
    <xf numFmtId="0" fontId="63" fillId="0" borderId="56" xfId="0" applyFont="1" applyBorder="1"/>
    <xf numFmtId="0" fontId="62" fillId="4" borderId="46" xfId="0" applyFont="1" applyFill="1" applyBorder="1" applyAlignment="1">
      <alignment horizontal="center" vertical="center"/>
    </xf>
    <xf numFmtId="0" fontId="63" fillId="0" borderId="48" xfId="0" applyFont="1" applyBorder="1"/>
    <xf numFmtId="0" fontId="62" fillId="4" borderId="44" xfId="0" applyFont="1" applyFill="1" applyBorder="1" applyAlignment="1">
      <alignment horizontal="center" vertical="center"/>
    </xf>
    <xf numFmtId="0" fontId="63" fillId="0" borderId="41" xfId="0" applyFont="1" applyBorder="1"/>
    <xf numFmtId="0" fontId="62" fillId="4" borderId="58" xfId="0" applyFont="1" applyFill="1" applyBorder="1" applyAlignment="1">
      <alignment horizontal="center" vertical="center"/>
    </xf>
    <xf numFmtId="0" fontId="62" fillId="4" borderId="16" xfId="0" applyFont="1" applyFill="1" applyBorder="1" applyAlignment="1">
      <alignment horizontal="center" vertical="center"/>
    </xf>
    <xf numFmtId="0" fontId="63" fillId="0" borderId="11" xfId="0" applyFont="1" applyBorder="1"/>
    <xf numFmtId="0" fontId="68" fillId="4" borderId="8" xfId="0" applyFont="1" applyFill="1" applyBorder="1" applyAlignment="1">
      <alignment horizontal="center"/>
    </xf>
    <xf numFmtId="0" fontId="68" fillId="0" borderId="9" xfId="0" applyFont="1" applyBorder="1"/>
    <xf numFmtId="0" fontId="25" fillId="31" borderId="8" xfId="0" applyFont="1" applyFill="1" applyBorder="1" applyAlignment="1">
      <alignment horizontal="center" vertical="center"/>
    </xf>
    <xf numFmtId="0" fontId="23" fillId="13" borderId="13" xfId="0" applyFont="1" applyFill="1" applyBorder="1"/>
    <xf numFmtId="0" fontId="23" fillId="13" borderId="9" xfId="0" applyFont="1" applyFill="1" applyBorder="1"/>
    <xf numFmtId="0" fontId="22" fillId="23" borderId="8" xfId="0" applyFont="1" applyFill="1" applyBorder="1" applyAlignment="1">
      <alignment horizontal="center"/>
    </xf>
    <xf numFmtId="0" fontId="23" fillId="17" borderId="13" xfId="0" applyFont="1" applyFill="1" applyBorder="1"/>
    <xf numFmtId="0" fontId="23" fillId="17" borderId="9" xfId="0" applyFont="1" applyFill="1" applyBorder="1"/>
    <xf numFmtId="0" fontId="46" fillId="4" borderId="8" xfId="0" applyFont="1" applyFill="1" applyBorder="1" applyAlignment="1">
      <alignment horizontal="center" vertical="center" wrapText="1"/>
    </xf>
    <xf numFmtId="20" fontId="27" fillId="0" borderId="4" xfId="0" applyNumberFormat="1" applyFont="1" applyBorder="1" applyAlignment="1">
      <alignment horizontal="center"/>
    </xf>
    <xf numFmtId="167" fontId="31" fillId="0" borderId="4" xfId="0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3" xfId="2" xr:uid="{B5E09C53-6179-014C-B15B-CABABA6CB415}"/>
  </cellStyles>
  <dxfs count="1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8FD9D0"/>
          <bgColor rgb="FF8FD9D0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CCC0DA"/>
          <bgColor rgb="FFCCC0DA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9DC3E6"/>
          <bgColor rgb="FF9DC3E6"/>
        </patternFill>
      </fill>
    </dxf>
    <dxf>
      <fill>
        <patternFill patternType="solid">
          <fgColor rgb="FFC6EFCE"/>
          <bgColor rgb="FFC6EFCE"/>
        </patternFill>
      </fill>
    </dxf>
    <dxf>
      <font>
        <b/>
      </font>
      <fill>
        <patternFill patternType="none"/>
      </fill>
    </dxf>
  </dxfs>
  <tableStyles count="0" defaultTableStyle="TableStyleMedium2" defaultPivotStyle="PivotStyleLight16"/>
  <colors>
    <mruColors>
      <color rgb="FFF4B3D9"/>
      <color rgb="FF05EEF9"/>
      <color rgb="FFF5B4DA"/>
      <color rgb="FFEC2D49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0/relationships/richValueRel" Target="richData/richValueRel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5666802</xdr:colOff>
      <xdr:row>0</xdr:row>
      <xdr:rowOff>190500</xdr:rowOff>
    </xdr:from>
    <xdr:to>
      <xdr:col>8</xdr:col>
      <xdr:colOff>177800</xdr:colOff>
      <xdr:row>2</xdr:row>
      <xdr:rowOff>275849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F1827-948E-BA49-AED8-B7CCBBA50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8002" y="190500"/>
          <a:ext cx="3705798" cy="216814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workbookViewId="0">
      <selection activeCell="AC13" sqref="AC13"/>
    </sheetView>
  </sheetViews>
  <sheetFormatPr baseColWidth="10" defaultColWidth="12.6640625" defaultRowHeight="15.75" customHeight="1"/>
  <cols>
    <col min="1" max="1" width="38.83203125" bestFit="1" customWidth="1"/>
    <col min="2" max="2" width="20.6640625" customWidth="1"/>
    <col min="3" max="3" width="41.6640625" customWidth="1"/>
    <col min="4" max="4" width="20.6640625" customWidth="1"/>
    <col min="5" max="5" width="34.33203125" customWidth="1"/>
    <col min="6" max="26" width="12.6640625" hidden="1"/>
  </cols>
  <sheetData>
    <row r="1" spans="1:26" ht="23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</row>
    <row r="2" spans="1:26" ht="17" thickTop="1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</row>
    <row r="3" spans="1:26" ht="16">
      <c r="A3" s="347" t="s">
        <v>340</v>
      </c>
      <c r="B3" s="348" t="s">
        <v>341</v>
      </c>
      <c r="C3" s="349" t="s">
        <v>342</v>
      </c>
      <c r="D3" s="350"/>
      <c r="E3" s="350"/>
    </row>
    <row r="4" spans="1:26" ht="68">
      <c r="A4" s="347" t="s">
        <v>345</v>
      </c>
      <c r="B4" s="351" t="s">
        <v>344</v>
      </c>
      <c r="C4" s="352" t="s">
        <v>343</v>
      </c>
      <c r="D4" s="347"/>
      <c r="E4" s="347"/>
    </row>
    <row r="5" spans="1:26" ht="16">
      <c r="A5" s="347" t="s">
        <v>348</v>
      </c>
      <c r="B5" s="353" t="s">
        <v>347</v>
      </c>
      <c r="C5" s="354" t="s">
        <v>346</v>
      </c>
      <c r="D5" s="347"/>
      <c r="E5" s="347"/>
    </row>
    <row r="6" spans="1:26" ht="16">
      <c r="A6" s="347" t="s">
        <v>349</v>
      </c>
      <c r="B6" s="353" t="s">
        <v>350</v>
      </c>
      <c r="C6" s="354" t="s">
        <v>350</v>
      </c>
      <c r="D6" s="347"/>
      <c r="E6" s="347"/>
    </row>
    <row r="7" spans="1:26" ht="34">
      <c r="A7" s="347" t="s">
        <v>352</v>
      </c>
      <c r="B7" s="351" t="s">
        <v>353</v>
      </c>
      <c r="C7" s="354" t="s">
        <v>351</v>
      </c>
      <c r="D7" s="347"/>
      <c r="E7" s="347"/>
    </row>
    <row r="8" spans="1:26" ht="16">
      <c r="A8" s="347" t="s">
        <v>354</v>
      </c>
      <c r="B8" s="353" t="s">
        <v>355</v>
      </c>
      <c r="C8" s="354" t="s">
        <v>356</v>
      </c>
      <c r="D8" s="347"/>
      <c r="E8" s="347"/>
    </row>
    <row r="9" spans="1:26" ht="16">
      <c r="A9" s="347" t="s">
        <v>357</v>
      </c>
      <c r="B9" s="353" t="s">
        <v>358</v>
      </c>
      <c r="C9" s="354" t="s">
        <v>359</v>
      </c>
      <c r="D9" s="347"/>
      <c r="E9" s="347"/>
    </row>
    <row r="10" spans="1:26" ht="16">
      <c r="A10" s="347"/>
      <c r="B10" s="353"/>
      <c r="C10" s="354"/>
      <c r="D10" s="347"/>
      <c r="E10" s="347"/>
    </row>
    <row r="11" spans="1:26" ht="16">
      <c r="A11" s="347" t="s">
        <v>548</v>
      </c>
      <c r="B11" s="353" t="s">
        <v>549</v>
      </c>
      <c r="C11" s="354" t="s">
        <v>550</v>
      </c>
      <c r="D11" s="347"/>
      <c r="E11" s="347"/>
    </row>
    <row r="12" spans="1:26" ht="172" customHeight="1">
      <c r="A12" s="2"/>
      <c r="B12" s="2"/>
      <c r="C12" s="3" t="e" vm="1">
        <v>#VALUE!</v>
      </c>
      <c r="D12" s="4"/>
      <c r="E12" s="5"/>
    </row>
    <row r="13" spans="1:26" ht="23">
      <c r="A13" s="5"/>
      <c r="B13" s="433" t="s">
        <v>6</v>
      </c>
      <c r="C13" s="434"/>
      <c r="D13" s="435"/>
      <c r="E13" s="5"/>
    </row>
    <row r="14" spans="1:26" ht="18">
      <c r="A14" s="5"/>
      <c r="B14" s="114" t="s">
        <v>7</v>
      </c>
      <c r="C14" s="428"/>
      <c r="D14" s="429"/>
      <c r="E14" s="5"/>
    </row>
    <row r="15" spans="1:26" ht="18">
      <c r="A15" s="5"/>
      <c r="B15" s="114" t="s">
        <v>8</v>
      </c>
      <c r="C15" s="428"/>
      <c r="D15" s="429"/>
      <c r="E15" s="5"/>
    </row>
    <row r="16" spans="1:26" ht="18">
      <c r="A16" s="5"/>
      <c r="B16" s="114" t="s">
        <v>9</v>
      </c>
      <c r="C16" s="428"/>
      <c r="D16" s="429"/>
      <c r="E16" s="5"/>
    </row>
    <row r="17" spans="1:5" ht="18">
      <c r="A17" s="5"/>
      <c r="B17" s="114" t="s">
        <v>10</v>
      </c>
      <c r="C17" s="428"/>
      <c r="D17" s="429"/>
      <c r="E17" s="5"/>
    </row>
    <row r="18" spans="1:5" ht="18">
      <c r="A18" s="5"/>
      <c r="B18" s="115" t="s">
        <v>11</v>
      </c>
      <c r="C18" s="430"/>
      <c r="D18" s="429"/>
      <c r="E18" s="5"/>
    </row>
    <row r="19" spans="1:5" ht="102.75" customHeight="1">
      <c r="A19" s="5"/>
      <c r="B19" s="6"/>
      <c r="C19" s="7"/>
      <c r="D19" s="5"/>
      <c r="E19" s="5"/>
    </row>
    <row r="20" spans="1:5" ht="13" hidden="1"/>
    <row r="21" spans="1:5" ht="123.75" hidden="1" customHeight="1"/>
    <row r="22" spans="1:5" ht="107.25" hidden="1" customHeight="1">
      <c r="C22" s="8"/>
    </row>
    <row r="23" spans="1:5" ht="13" hidden="1"/>
    <row r="24" spans="1:5" ht="13" hidden="1"/>
    <row r="25" spans="1:5" ht="13" hidden="1"/>
    <row r="26" spans="1:5" ht="13" hidden="1"/>
    <row r="27" spans="1:5" ht="13" hidden="1"/>
    <row r="28" spans="1:5" ht="13" hidden="1"/>
    <row r="29" spans="1:5" ht="13" hidden="1"/>
    <row r="30" spans="1:5" ht="13" hidden="1"/>
    <row r="31" spans="1:5" ht="13" hidden="1"/>
    <row r="32" spans="1:5" ht="13" hidden="1"/>
    <row r="33" ht="13" hidden="1"/>
    <row r="34" ht="13" hidden="1"/>
    <row r="35" ht="13" hidden="1"/>
    <row r="36" ht="13" hidden="1"/>
    <row r="37" ht="13" hidden="1"/>
    <row r="38" ht="13" hidden="1"/>
    <row r="39" ht="13" hidden="1"/>
    <row r="40" ht="13" hidden="1"/>
    <row r="41" ht="13" hidden="1"/>
    <row r="42" ht="13" hidden="1"/>
    <row r="43" ht="13" hidden="1"/>
    <row r="44" ht="13" hidden="1"/>
    <row r="45" ht="13" hidden="1"/>
    <row r="46" ht="13" hidden="1"/>
    <row r="47" ht="13" hidden="1"/>
    <row r="48" ht="13" hidden="1"/>
    <row r="49" ht="13" hidden="1"/>
    <row r="50" ht="13" hidden="1"/>
    <row r="51" ht="13" hidden="1"/>
    <row r="52" ht="13" hidden="1"/>
    <row r="53" ht="13" hidden="1"/>
    <row r="54" ht="13" hidden="1"/>
    <row r="55" ht="13" hidden="1"/>
    <row r="56" ht="13" hidden="1"/>
    <row r="57" ht="13" hidden="1"/>
    <row r="58" ht="13" hidden="1"/>
    <row r="59" ht="13" hidden="1"/>
    <row r="60" ht="13" hidden="1"/>
    <row r="61" ht="13" hidden="1"/>
    <row r="62" ht="13" hidden="1"/>
    <row r="63" ht="13" hidden="1"/>
    <row r="64" ht="13" hidden="1"/>
    <row r="65" ht="13" hidden="1"/>
    <row r="66" ht="13" hidden="1"/>
    <row r="67" ht="13" hidden="1"/>
    <row r="68" ht="13" hidden="1"/>
    <row r="69" ht="13" hidden="1"/>
    <row r="70" ht="13" hidden="1"/>
    <row r="71" ht="13" hidden="1"/>
    <row r="72" ht="13" hidden="1"/>
    <row r="73" ht="13" hidden="1"/>
    <row r="74" ht="13" hidden="1"/>
    <row r="75" ht="13" hidden="1"/>
    <row r="76" ht="13" hidden="1"/>
    <row r="77" ht="13" hidden="1"/>
    <row r="78" ht="13" hidden="1"/>
    <row r="79" ht="13" hidden="1"/>
    <row r="80" ht="13" hidden="1"/>
    <row r="81" ht="13" hidden="1"/>
    <row r="82" ht="13" hidden="1"/>
    <row r="83" ht="13" hidden="1"/>
    <row r="84" ht="13" hidden="1"/>
    <row r="85" ht="13" hidden="1"/>
    <row r="86" ht="13" hidden="1"/>
    <row r="87" ht="13" hidden="1"/>
    <row r="88" ht="13" hidden="1"/>
    <row r="89" ht="13" hidden="1"/>
    <row r="90" ht="13" hidden="1"/>
    <row r="91" ht="13" hidden="1"/>
    <row r="92" ht="13" hidden="1"/>
    <row r="93" ht="13" hidden="1"/>
    <row r="94" ht="13" hidden="1"/>
    <row r="95" ht="13" hidden="1"/>
    <row r="96" ht="13" hidden="1"/>
    <row r="97" ht="13" hidden="1"/>
    <row r="98" ht="13" hidden="1"/>
    <row r="99" ht="13" hidden="1"/>
    <row r="100" ht="13" hidden="1"/>
    <row r="101" ht="13" hidden="1"/>
    <row r="102" ht="13" hidden="1"/>
    <row r="103" ht="13" hidden="1"/>
    <row r="104" ht="13" hidden="1"/>
    <row r="105" ht="13" hidden="1"/>
    <row r="106" ht="13" hidden="1"/>
    <row r="107" ht="13" hidden="1"/>
    <row r="108" ht="13" hidden="1"/>
    <row r="109" ht="13" hidden="1"/>
    <row r="110" ht="13" hidden="1"/>
    <row r="111" ht="13" hidden="1"/>
    <row r="112" ht="13" hidden="1"/>
    <row r="113" ht="13" hidden="1"/>
    <row r="114" ht="13" hidden="1"/>
    <row r="115" ht="13" hidden="1"/>
    <row r="116" ht="13" hidden="1"/>
    <row r="117" ht="13" hidden="1"/>
    <row r="118" ht="13" hidden="1"/>
    <row r="119" ht="13" hidden="1"/>
    <row r="120" ht="13" hidden="1"/>
    <row r="121" ht="13" hidden="1"/>
    <row r="122" ht="13" hidden="1"/>
    <row r="123" ht="13" hidden="1"/>
    <row r="124" ht="13" hidden="1"/>
    <row r="125" ht="13" hidden="1"/>
    <row r="126" ht="13" hidden="1"/>
    <row r="127" ht="13" hidden="1"/>
    <row r="128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</sheetData>
  <mergeCells count="7">
    <mergeCell ref="C17:D17"/>
    <mergeCell ref="C18:D18"/>
    <mergeCell ref="A1:Z1"/>
    <mergeCell ref="B13:D13"/>
    <mergeCell ref="C14:D14"/>
    <mergeCell ref="C15:D15"/>
    <mergeCell ref="C16:D16"/>
  </mergeCells>
  <pageMargins left="0.7" right="0.7" top="0.75" bottom="0.75" header="0.3" footer="0.3"/>
  <pageSetup paperSize="8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46"/>
  <sheetViews>
    <sheetView zoomScaleNormal="100" workbookViewId="0">
      <pane ySplit="1" topLeftCell="A81" activePane="bottomLeft" state="frozen"/>
      <selection pane="bottomLeft" activeCell="B102" sqref="B102"/>
    </sheetView>
  </sheetViews>
  <sheetFormatPr baseColWidth="10" defaultColWidth="12.6640625" defaultRowHeight="15.75" customHeight="1"/>
  <cols>
    <col min="1" max="1" width="43.83203125" bestFit="1" customWidth="1"/>
    <col min="2" max="2" width="72.1640625" customWidth="1"/>
    <col min="3" max="3" width="29.83203125" bestFit="1" customWidth="1"/>
    <col min="4" max="4" width="18.1640625" customWidth="1"/>
    <col min="5" max="5" width="18.5" customWidth="1"/>
    <col min="6" max="6" width="20.83203125" customWidth="1"/>
    <col min="7" max="7" width="22.6640625" customWidth="1"/>
    <col min="8" max="24" width="12.6640625" hidden="1"/>
    <col min="25" max="25" width="5" customWidth="1"/>
    <col min="29" max="29" width="30.1640625" customWidth="1"/>
  </cols>
  <sheetData>
    <row r="1" spans="1:29" ht="27" customHeight="1" thickBot="1">
      <c r="A1" s="436" t="s">
        <v>360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</row>
    <row r="2" spans="1:29" ht="29" customHeight="1">
      <c r="A2" s="116" t="s">
        <v>12</v>
      </c>
      <c r="B2" s="117" t="s">
        <v>13</v>
      </c>
      <c r="C2" s="117" t="s">
        <v>14</v>
      </c>
      <c r="D2" s="117" t="s">
        <v>15</v>
      </c>
      <c r="E2" s="117" t="s">
        <v>16</v>
      </c>
      <c r="F2" s="117" t="s">
        <v>17</v>
      </c>
      <c r="G2" s="303" t="s">
        <v>18</v>
      </c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7"/>
    </row>
    <row r="3" spans="1:29" ht="16">
      <c r="A3" s="118" t="s">
        <v>19</v>
      </c>
      <c r="B3" s="53"/>
      <c r="C3" s="54"/>
      <c r="D3" s="55"/>
      <c r="E3" s="54"/>
      <c r="F3" s="54"/>
      <c r="G3" s="54"/>
      <c r="Y3" s="328"/>
    </row>
    <row r="4" spans="1:29" ht="18">
      <c r="A4" s="50" t="s">
        <v>249</v>
      </c>
      <c r="B4" s="56" t="s">
        <v>308</v>
      </c>
      <c r="C4" s="56" t="s">
        <v>46</v>
      </c>
      <c r="D4" s="57"/>
      <c r="E4" s="325" t="b">
        <v>0</v>
      </c>
      <c r="F4" s="56"/>
      <c r="G4" s="56"/>
      <c r="Y4" s="328"/>
    </row>
    <row r="5" spans="1:29" ht="18">
      <c r="A5" s="50" t="s">
        <v>250</v>
      </c>
      <c r="B5" s="56" t="s">
        <v>554</v>
      </c>
      <c r="C5" s="56" t="s">
        <v>309</v>
      </c>
      <c r="D5" s="57"/>
      <c r="E5" s="325" t="b">
        <v>0</v>
      </c>
      <c r="F5" s="56"/>
      <c r="G5" s="56"/>
      <c r="Y5" s="329"/>
    </row>
    <row r="6" spans="1:29" ht="18">
      <c r="A6" s="51" t="s">
        <v>223</v>
      </c>
      <c r="B6" s="56" t="s">
        <v>554</v>
      </c>
      <c r="C6" s="56" t="s">
        <v>309</v>
      </c>
      <c r="D6" s="57"/>
      <c r="E6" s="325" t="b">
        <v>0</v>
      </c>
      <c r="F6" s="56"/>
      <c r="G6" s="56"/>
      <c r="Y6" s="329"/>
    </row>
    <row r="7" spans="1:29" ht="18">
      <c r="A7" s="50"/>
      <c r="B7" s="56"/>
      <c r="C7" s="56"/>
      <c r="D7" s="57"/>
      <c r="E7" s="325" t="b">
        <v>0</v>
      </c>
      <c r="F7" s="56"/>
      <c r="G7" s="56"/>
      <c r="Y7" s="329"/>
    </row>
    <row r="8" spans="1:29" ht="18">
      <c r="A8" s="50"/>
      <c r="B8" s="56"/>
      <c r="C8" s="56"/>
      <c r="D8" s="57"/>
      <c r="E8" s="325" t="b">
        <v>0</v>
      </c>
      <c r="F8" s="56"/>
      <c r="G8" s="56"/>
      <c r="Y8" s="329"/>
      <c r="AC8" s="281"/>
    </row>
    <row r="9" spans="1:29" ht="18">
      <c r="A9" s="50"/>
      <c r="B9" s="56"/>
      <c r="C9" s="56"/>
      <c r="D9" s="57"/>
      <c r="E9" s="325" t="b">
        <v>0</v>
      </c>
      <c r="F9" s="56"/>
      <c r="G9" s="56"/>
      <c r="Y9" s="329"/>
    </row>
    <row r="10" spans="1:29" ht="16">
      <c r="A10" s="61" t="s">
        <v>20</v>
      </c>
      <c r="B10" s="53"/>
      <c r="C10" s="54"/>
      <c r="D10" s="55"/>
      <c r="E10" s="54"/>
      <c r="F10" s="54"/>
      <c r="G10" s="54"/>
      <c r="Y10" s="329"/>
    </row>
    <row r="11" spans="1:29" ht="18">
      <c r="A11" s="50" t="s">
        <v>247</v>
      </c>
      <c r="B11" s="56" t="s">
        <v>552</v>
      </c>
      <c r="C11" s="56" t="s">
        <v>307</v>
      </c>
      <c r="D11" s="57"/>
      <c r="E11" s="325" t="b">
        <v>0</v>
      </c>
      <c r="F11" s="56"/>
      <c r="G11" s="56"/>
      <c r="Y11" s="329"/>
    </row>
    <row r="12" spans="1:29" ht="18">
      <c r="A12" s="50" t="s">
        <v>248</v>
      </c>
      <c r="B12" s="56" t="s">
        <v>553</v>
      </c>
      <c r="C12" s="56" t="s">
        <v>307</v>
      </c>
      <c r="D12" s="57"/>
      <c r="E12" s="325" t="b">
        <v>0</v>
      </c>
      <c r="F12" s="56"/>
      <c r="G12" s="56"/>
      <c r="Y12" s="329"/>
    </row>
    <row r="13" spans="1:29" ht="18">
      <c r="A13" s="50" t="s">
        <v>227</v>
      </c>
      <c r="B13" s="56" t="s">
        <v>553</v>
      </c>
      <c r="C13" s="56" t="s">
        <v>307</v>
      </c>
      <c r="D13" s="57"/>
      <c r="E13" s="325" t="b">
        <v>0</v>
      </c>
      <c r="F13" s="56"/>
      <c r="G13" s="56"/>
      <c r="Y13" s="329"/>
    </row>
    <row r="14" spans="1:29" ht="18">
      <c r="A14" s="50"/>
      <c r="B14" s="56"/>
      <c r="C14" s="56"/>
      <c r="D14" s="57"/>
      <c r="E14" s="325" t="b">
        <v>0</v>
      </c>
      <c r="F14" s="56"/>
      <c r="G14" s="56"/>
      <c r="Y14" s="329"/>
    </row>
    <row r="15" spans="1:29" ht="18">
      <c r="A15" s="50"/>
      <c r="B15" s="56"/>
      <c r="C15" s="56"/>
      <c r="D15" s="57"/>
      <c r="E15" s="325" t="b">
        <v>0</v>
      </c>
      <c r="F15" s="56"/>
      <c r="G15" s="56"/>
      <c r="Y15" s="329"/>
    </row>
    <row r="16" spans="1:29" ht="18">
      <c r="A16" s="50"/>
      <c r="B16" s="56"/>
      <c r="C16" s="56"/>
      <c r="D16" s="57"/>
      <c r="E16" s="325" t="b">
        <v>0</v>
      </c>
      <c r="F16" s="56"/>
      <c r="G16" s="56"/>
      <c r="Y16" s="329"/>
    </row>
    <row r="17" spans="1:32" ht="16">
      <c r="A17" s="61" t="s">
        <v>185</v>
      </c>
      <c r="B17" s="53"/>
      <c r="C17" s="54"/>
      <c r="D17" s="55"/>
      <c r="E17" s="54"/>
      <c r="F17" s="54"/>
      <c r="G17" s="54"/>
      <c r="Y17" s="329"/>
    </row>
    <row r="18" spans="1:32" ht="18">
      <c r="A18" s="50" t="s">
        <v>240</v>
      </c>
      <c r="B18" s="56" t="s">
        <v>306</v>
      </c>
      <c r="C18" s="56" t="s">
        <v>46</v>
      </c>
      <c r="D18" s="57"/>
      <c r="E18" s="325" t="b">
        <v>0</v>
      </c>
      <c r="F18" s="56"/>
      <c r="G18" s="56"/>
      <c r="Y18" s="329"/>
    </row>
    <row r="19" spans="1:32" ht="18">
      <c r="A19" s="50" t="s">
        <v>314</v>
      </c>
      <c r="B19" s="56" t="s">
        <v>305</v>
      </c>
      <c r="C19" s="56" t="s">
        <v>46</v>
      </c>
      <c r="D19" s="57"/>
      <c r="E19" s="325" t="b">
        <v>0</v>
      </c>
      <c r="F19" s="56"/>
      <c r="G19" s="56"/>
      <c r="Y19" s="329"/>
    </row>
    <row r="20" spans="1:32" ht="18">
      <c r="A20" s="50" t="s">
        <v>315</v>
      </c>
      <c r="B20" s="56"/>
      <c r="C20" s="56" t="s">
        <v>46</v>
      </c>
      <c r="D20" s="57"/>
      <c r="E20" s="325" t="b">
        <v>0</v>
      </c>
      <c r="F20" s="56"/>
      <c r="G20" s="56"/>
      <c r="Y20" s="329"/>
    </row>
    <row r="21" spans="1:32" ht="18">
      <c r="A21" s="50" t="s">
        <v>313</v>
      </c>
      <c r="B21" s="56" t="s">
        <v>305</v>
      </c>
      <c r="C21" s="56" t="s">
        <v>46</v>
      </c>
      <c r="D21" s="57"/>
      <c r="E21" s="325" t="b">
        <v>0</v>
      </c>
      <c r="F21" s="56"/>
      <c r="G21" s="56"/>
      <c r="Y21" s="329"/>
    </row>
    <row r="22" spans="1:32" ht="18">
      <c r="A22" s="50" t="s">
        <v>312</v>
      </c>
      <c r="B22" s="56" t="s">
        <v>305</v>
      </c>
      <c r="C22" s="56" t="s">
        <v>46</v>
      </c>
      <c r="D22" s="57"/>
      <c r="E22" s="325" t="b">
        <v>0</v>
      </c>
      <c r="F22" s="56"/>
      <c r="G22" s="56"/>
      <c r="Y22" s="329"/>
    </row>
    <row r="23" spans="1:32" ht="18">
      <c r="A23" s="50" t="s">
        <v>241</v>
      </c>
      <c r="B23" s="56" t="s">
        <v>305</v>
      </c>
      <c r="C23" s="56" t="s">
        <v>46</v>
      </c>
      <c r="D23" s="57"/>
      <c r="E23" s="325" t="b">
        <v>0</v>
      </c>
      <c r="F23" s="56"/>
      <c r="G23" s="56"/>
      <c r="Y23" s="329"/>
    </row>
    <row r="24" spans="1:32" ht="18">
      <c r="A24" s="50" t="s">
        <v>242</v>
      </c>
      <c r="B24" s="56" t="s">
        <v>305</v>
      </c>
      <c r="C24" s="56" t="s">
        <v>46</v>
      </c>
      <c r="D24" s="57"/>
      <c r="E24" s="325" t="b">
        <v>0</v>
      </c>
      <c r="F24" s="56"/>
      <c r="G24" s="56"/>
      <c r="Y24" s="329"/>
    </row>
    <row r="25" spans="1:32" ht="18">
      <c r="A25" s="52" t="s">
        <v>244</v>
      </c>
      <c r="B25" s="56" t="s">
        <v>305</v>
      </c>
      <c r="C25" s="56" t="s">
        <v>46</v>
      </c>
      <c r="D25" s="57"/>
      <c r="E25" s="325" t="b">
        <v>0</v>
      </c>
      <c r="F25" s="56"/>
      <c r="G25" s="56"/>
      <c r="Y25" s="329"/>
    </row>
    <row r="26" spans="1:32" ht="18">
      <c r="A26" s="50" t="s">
        <v>243</v>
      </c>
      <c r="B26" s="56" t="s">
        <v>304</v>
      </c>
      <c r="C26" s="56" t="s">
        <v>46</v>
      </c>
      <c r="D26" s="57"/>
      <c r="E26" s="325" t="b">
        <v>0</v>
      </c>
      <c r="F26" s="56"/>
      <c r="G26" s="56"/>
      <c r="Y26" s="329"/>
    </row>
    <row r="27" spans="1:32" ht="18">
      <c r="A27" s="50" t="s">
        <v>245</v>
      </c>
      <c r="B27" s="56" t="s">
        <v>303</v>
      </c>
      <c r="C27" s="56" t="s">
        <v>46</v>
      </c>
      <c r="D27" s="57"/>
      <c r="E27" s="325" t="b">
        <v>0</v>
      </c>
      <c r="F27" s="56"/>
      <c r="G27" s="56"/>
      <c r="Y27" s="329"/>
    </row>
    <row r="28" spans="1:32" ht="18">
      <c r="A28" s="50" t="s">
        <v>288</v>
      </c>
      <c r="B28" s="56" t="s">
        <v>301</v>
      </c>
      <c r="C28" s="56" t="s">
        <v>46</v>
      </c>
      <c r="D28" s="57"/>
      <c r="E28" s="325" t="b">
        <v>0</v>
      </c>
      <c r="F28" s="56"/>
      <c r="G28" s="56"/>
      <c r="Y28" s="329"/>
    </row>
    <row r="29" spans="1:32" ht="18">
      <c r="A29" s="50" t="s">
        <v>246</v>
      </c>
      <c r="B29" s="56" t="s">
        <v>302</v>
      </c>
      <c r="C29" s="56" t="s">
        <v>46</v>
      </c>
      <c r="D29" s="57"/>
      <c r="E29" s="325" t="b">
        <v>0</v>
      </c>
      <c r="F29" s="56"/>
      <c r="G29" s="56"/>
      <c r="Y29" s="329"/>
      <c r="AC29" s="14" t="s">
        <v>488</v>
      </c>
    </row>
    <row r="30" spans="1:32" ht="16">
      <c r="A30" s="61" t="s">
        <v>21</v>
      </c>
      <c r="B30" s="53"/>
      <c r="C30" s="54"/>
      <c r="D30" s="55"/>
      <c r="E30" s="54"/>
      <c r="F30" s="54"/>
      <c r="G30" s="54"/>
      <c r="Y30" s="329"/>
      <c r="AC30" s="46" t="s">
        <v>69</v>
      </c>
      <c r="AD30" s="46" t="s">
        <v>112</v>
      </c>
      <c r="AE30" s="438" t="s">
        <v>32</v>
      </c>
      <c r="AF30" s="439"/>
    </row>
    <row r="31" spans="1:32" ht="18">
      <c r="A31" s="50" t="s">
        <v>186</v>
      </c>
      <c r="B31" s="58" t="s">
        <v>207</v>
      </c>
      <c r="C31" s="56" t="s">
        <v>584</v>
      </c>
      <c r="D31" s="57"/>
      <c r="E31" s="325" t="b">
        <v>0</v>
      </c>
      <c r="F31" s="56"/>
      <c r="G31" s="56"/>
      <c r="Y31" s="329"/>
      <c r="AC31" s="216" t="s">
        <v>193</v>
      </c>
      <c r="AD31" s="272">
        <v>40</v>
      </c>
    </row>
    <row r="32" spans="1:32" ht="18">
      <c r="A32" s="50" t="s">
        <v>206</v>
      </c>
      <c r="B32" s="56" t="s">
        <v>199</v>
      </c>
      <c r="C32" s="56"/>
      <c r="D32" s="57"/>
      <c r="E32" s="325" t="b">
        <v>0</v>
      </c>
      <c r="F32" s="56"/>
      <c r="G32" s="56"/>
      <c r="Y32" s="329"/>
      <c r="AC32" s="216" t="s">
        <v>194</v>
      </c>
      <c r="AD32" s="272">
        <v>30</v>
      </c>
    </row>
    <row r="33" spans="1:30" ht="18">
      <c r="A33" s="50" t="s">
        <v>208</v>
      </c>
      <c r="B33" s="56" t="s">
        <v>209</v>
      </c>
      <c r="C33" s="56"/>
      <c r="D33" s="57"/>
      <c r="E33" s="325" t="b">
        <v>0</v>
      </c>
      <c r="F33" s="56"/>
      <c r="G33" s="56"/>
      <c r="Y33" s="329"/>
      <c r="AC33" s="216" t="s">
        <v>195</v>
      </c>
      <c r="AD33" s="216">
        <f>20*5</f>
        <v>100</v>
      </c>
    </row>
    <row r="34" spans="1:30" ht="18">
      <c r="A34" s="50" t="s">
        <v>251</v>
      </c>
      <c r="B34" s="59" t="s">
        <v>300</v>
      </c>
      <c r="C34" s="56"/>
      <c r="D34" s="57"/>
      <c r="E34" s="325" t="b">
        <v>0</v>
      </c>
      <c r="F34" s="56"/>
      <c r="G34" s="56"/>
      <c r="Y34" s="329"/>
      <c r="AC34" s="216" t="s">
        <v>196</v>
      </c>
      <c r="AD34" s="272">
        <v>20</v>
      </c>
    </row>
    <row r="35" spans="1:30" ht="18">
      <c r="A35" s="50" t="s">
        <v>252</v>
      </c>
      <c r="B35" s="56" t="s">
        <v>164</v>
      </c>
      <c r="C35" s="56"/>
      <c r="D35" s="57"/>
      <c r="E35" s="325" t="b">
        <v>0</v>
      </c>
      <c r="F35" s="56"/>
      <c r="G35" s="56"/>
      <c r="Y35" s="329"/>
      <c r="AC35" s="216" t="s">
        <v>197</v>
      </c>
      <c r="AD35" s="272">
        <v>20</v>
      </c>
    </row>
    <row r="36" spans="1:30" ht="18">
      <c r="A36" s="50" t="s">
        <v>291</v>
      </c>
      <c r="B36" s="56" t="s">
        <v>209</v>
      </c>
      <c r="C36" s="56"/>
      <c r="D36" s="57"/>
      <c r="E36" s="325" t="b">
        <v>0</v>
      </c>
      <c r="F36" s="56"/>
      <c r="G36" s="56"/>
      <c r="Y36" s="329"/>
      <c r="AC36" s="216" t="s">
        <v>198</v>
      </c>
      <c r="AD36" s="272" t="s">
        <v>199</v>
      </c>
    </row>
    <row r="37" spans="1:30" ht="16">
      <c r="A37" s="61" t="s">
        <v>22</v>
      </c>
      <c r="B37" s="53"/>
      <c r="C37" s="54"/>
      <c r="D37" s="55"/>
      <c r="E37" s="54"/>
      <c r="F37" s="54"/>
      <c r="G37" s="54"/>
      <c r="Y37" s="329"/>
      <c r="AC37" s="216" t="s">
        <v>200</v>
      </c>
      <c r="AD37" s="272" t="s">
        <v>201</v>
      </c>
    </row>
    <row r="38" spans="1:30" ht="18">
      <c r="A38" s="50" t="s">
        <v>187</v>
      </c>
      <c r="B38" s="56" t="s">
        <v>188</v>
      </c>
      <c r="C38" s="56" t="s">
        <v>585</v>
      </c>
      <c r="D38" s="57"/>
      <c r="E38" s="325" t="b">
        <v>0</v>
      </c>
      <c r="F38" s="56"/>
      <c r="G38" s="56"/>
      <c r="Y38" s="329"/>
      <c r="AC38" s="216" t="s">
        <v>202</v>
      </c>
      <c r="AD38" s="272">
        <v>4</v>
      </c>
    </row>
    <row r="39" spans="1:30" ht="18">
      <c r="A39" s="50" t="s">
        <v>189</v>
      </c>
      <c r="B39" s="56" t="s">
        <v>190</v>
      </c>
      <c r="C39" s="56"/>
      <c r="D39" s="57"/>
      <c r="E39" s="325" t="b">
        <v>0</v>
      </c>
      <c r="F39" s="56"/>
      <c r="G39" s="56"/>
      <c r="Y39" s="329"/>
      <c r="AC39" s="216" t="s">
        <v>203</v>
      </c>
      <c r="AD39" s="272">
        <v>2</v>
      </c>
    </row>
    <row r="40" spans="1:30" ht="18">
      <c r="A40" s="50" t="s">
        <v>270</v>
      </c>
      <c r="B40" s="56" t="s">
        <v>299</v>
      </c>
      <c r="C40" s="56"/>
      <c r="D40" s="57"/>
      <c r="E40" s="325" t="b">
        <v>0</v>
      </c>
      <c r="F40" s="56"/>
      <c r="G40" s="56"/>
      <c r="Y40" s="329"/>
      <c r="AC40" s="216" t="s">
        <v>204</v>
      </c>
      <c r="AD40" s="272" t="s">
        <v>205</v>
      </c>
    </row>
    <row r="41" spans="1:30" ht="18">
      <c r="A41" s="50" t="s">
        <v>271</v>
      </c>
      <c r="B41" s="56" t="s">
        <v>297</v>
      </c>
      <c r="C41" s="56" t="s">
        <v>298</v>
      </c>
      <c r="D41" s="57"/>
      <c r="E41" s="325" t="b">
        <v>0</v>
      </c>
      <c r="F41" s="56"/>
      <c r="G41" s="56"/>
      <c r="Y41" s="329"/>
      <c r="AC41" s="216" t="s">
        <v>206</v>
      </c>
      <c r="AD41" s="272" t="s">
        <v>199</v>
      </c>
    </row>
    <row r="42" spans="1:30" ht="18">
      <c r="A42" s="50"/>
      <c r="B42" s="56"/>
      <c r="C42" s="56"/>
      <c r="D42" s="57"/>
      <c r="E42" s="325" t="b">
        <v>0</v>
      </c>
      <c r="F42" s="56"/>
      <c r="G42" s="56"/>
      <c r="Y42" s="329"/>
      <c r="AC42" s="216" t="s">
        <v>186</v>
      </c>
      <c r="AD42" s="272" t="s">
        <v>207</v>
      </c>
    </row>
    <row r="43" spans="1:30" ht="18">
      <c r="A43" s="50"/>
      <c r="B43" s="56"/>
      <c r="C43" s="56"/>
      <c r="D43" s="57"/>
      <c r="E43" s="325" t="b">
        <v>0</v>
      </c>
      <c r="F43" s="56"/>
      <c r="G43" s="56"/>
      <c r="Y43" s="329"/>
      <c r="AC43" s="216" t="s">
        <v>208</v>
      </c>
      <c r="AD43" s="272" t="s">
        <v>209</v>
      </c>
    </row>
    <row r="44" spans="1:30" ht="16">
      <c r="A44" s="61" t="s">
        <v>269</v>
      </c>
      <c r="B44" s="53"/>
      <c r="C44" s="54"/>
      <c r="D44" s="55"/>
      <c r="E44" s="54"/>
      <c r="F44" s="54"/>
      <c r="G44" s="54"/>
      <c r="Y44" s="329"/>
      <c r="AC44" s="216" t="s">
        <v>210</v>
      </c>
      <c r="AD44" s="272">
        <v>1</v>
      </c>
    </row>
    <row r="45" spans="1:30" ht="18">
      <c r="A45" s="50" t="s">
        <v>167</v>
      </c>
      <c r="B45" s="56" t="s">
        <v>296</v>
      </c>
      <c r="C45" s="56"/>
      <c r="D45" s="57"/>
      <c r="E45" s="325" t="b">
        <v>0</v>
      </c>
      <c r="F45" s="56"/>
      <c r="G45" s="56"/>
      <c r="Y45" s="329"/>
      <c r="AC45" s="216" t="s">
        <v>211</v>
      </c>
      <c r="AD45" s="272">
        <v>2</v>
      </c>
    </row>
    <row r="46" spans="1:30" ht="18">
      <c r="A46" s="50" t="s">
        <v>170</v>
      </c>
      <c r="B46" s="56" t="s">
        <v>296</v>
      </c>
      <c r="C46" s="56"/>
      <c r="D46" s="57"/>
      <c r="E46" s="325" t="b">
        <v>0</v>
      </c>
      <c r="F46" s="56"/>
      <c r="G46" s="56"/>
      <c r="Y46" s="329"/>
      <c r="AC46" s="216" t="s">
        <v>212</v>
      </c>
      <c r="AD46" s="272">
        <v>3</v>
      </c>
    </row>
    <row r="47" spans="1:30" ht="18">
      <c r="A47" s="50" t="s">
        <v>268</v>
      </c>
      <c r="B47" s="56" t="s">
        <v>239</v>
      </c>
      <c r="C47" s="56" t="s">
        <v>311</v>
      </c>
      <c r="D47" s="57"/>
      <c r="E47" s="325" t="b">
        <v>0</v>
      </c>
      <c r="F47" s="56"/>
      <c r="G47" s="56"/>
      <c r="Y47" s="329"/>
      <c r="AC47" s="216" t="s">
        <v>213</v>
      </c>
      <c r="AD47" s="272">
        <v>1</v>
      </c>
    </row>
    <row r="48" spans="1:30" ht="18">
      <c r="A48" s="50" t="s">
        <v>200</v>
      </c>
      <c r="B48" s="56" t="s">
        <v>294</v>
      </c>
      <c r="C48" s="56" t="s">
        <v>333</v>
      </c>
      <c r="D48" s="57"/>
      <c r="E48" s="325" t="b">
        <v>0</v>
      </c>
      <c r="F48" s="56"/>
      <c r="G48" s="56"/>
      <c r="Y48" s="329"/>
      <c r="AC48" s="216" t="s">
        <v>214</v>
      </c>
      <c r="AD48" s="272">
        <v>2</v>
      </c>
    </row>
    <row r="49" spans="1:30" ht="18">
      <c r="A49" s="50" t="s">
        <v>204</v>
      </c>
      <c r="B49" s="56" t="s">
        <v>295</v>
      </c>
      <c r="C49" s="56"/>
      <c r="D49" s="57"/>
      <c r="E49" s="325" t="b">
        <v>0</v>
      </c>
      <c r="F49" s="56"/>
      <c r="G49" s="56"/>
      <c r="Y49" s="329"/>
      <c r="AC49" s="216" t="s">
        <v>215</v>
      </c>
      <c r="AD49" s="272">
        <v>1</v>
      </c>
    </row>
    <row r="50" spans="1:30" ht="18">
      <c r="A50" s="50"/>
      <c r="B50" s="56"/>
      <c r="C50" s="56"/>
      <c r="D50" s="57"/>
      <c r="E50" s="325" t="b">
        <v>0</v>
      </c>
      <c r="F50" s="56"/>
      <c r="G50" s="56"/>
      <c r="Y50" s="329"/>
      <c r="AC50" s="216" t="s">
        <v>216</v>
      </c>
      <c r="AD50" s="272">
        <v>6</v>
      </c>
    </row>
    <row r="51" spans="1:30" ht="16">
      <c r="A51" s="61" t="s">
        <v>272</v>
      </c>
      <c r="B51" s="53"/>
      <c r="C51" s="54"/>
      <c r="D51" s="55"/>
      <c r="E51" s="54"/>
      <c r="F51" s="54"/>
      <c r="G51" s="54"/>
      <c r="Y51" s="329"/>
      <c r="AC51" s="216" t="s">
        <v>217</v>
      </c>
      <c r="AD51" s="272">
        <v>1</v>
      </c>
    </row>
    <row r="52" spans="1:30" ht="18">
      <c r="A52" s="50" t="s">
        <v>175</v>
      </c>
      <c r="B52" s="56" t="s">
        <v>293</v>
      </c>
      <c r="C52" s="56"/>
      <c r="D52" s="57"/>
      <c r="E52" s="325" t="b">
        <v>0</v>
      </c>
      <c r="F52" s="56"/>
      <c r="G52" s="56"/>
      <c r="Y52" s="329"/>
      <c r="AC52" s="216" t="s">
        <v>218</v>
      </c>
      <c r="AD52" s="216"/>
    </row>
    <row r="53" spans="1:30" ht="18">
      <c r="A53" s="50" t="s">
        <v>273</v>
      </c>
      <c r="B53" s="56"/>
      <c r="C53" s="56" t="s">
        <v>586</v>
      </c>
      <c r="D53" s="57"/>
      <c r="E53" s="325" t="b">
        <v>0</v>
      </c>
      <c r="F53" s="56"/>
      <c r="G53" s="56"/>
      <c r="Y53" s="329"/>
      <c r="AC53" s="216" t="s">
        <v>219</v>
      </c>
      <c r="AD53" s="272">
        <v>2</v>
      </c>
    </row>
    <row r="54" spans="1:30" ht="18">
      <c r="A54" s="50" t="s">
        <v>274</v>
      </c>
      <c r="B54" s="56"/>
      <c r="C54" s="56" t="s">
        <v>586</v>
      </c>
      <c r="D54" s="57"/>
      <c r="E54" s="325" t="b">
        <v>0</v>
      </c>
      <c r="F54" s="56"/>
      <c r="G54" s="56"/>
      <c r="Y54" s="329"/>
      <c r="AC54" s="216" t="s">
        <v>220</v>
      </c>
      <c r="AD54" s="272">
        <v>1</v>
      </c>
    </row>
    <row r="55" spans="1:30" ht="18">
      <c r="A55" s="50" t="s">
        <v>275</v>
      </c>
      <c r="B55" s="56"/>
      <c r="C55" s="56" t="s">
        <v>586</v>
      </c>
      <c r="D55" s="57"/>
      <c r="E55" s="325" t="b">
        <v>0</v>
      </c>
      <c r="F55" s="56"/>
      <c r="G55" s="56"/>
      <c r="Y55" s="329"/>
      <c r="AC55" s="216" t="s">
        <v>221</v>
      </c>
      <c r="AD55" s="272">
        <v>12</v>
      </c>
    </row>
    <row r="56" spans="1:30" ht="18">
      <c r="A56" s="50" t="s">
        <v>276</v>
      </c>
      <c r="B56" s="56"/>
      <c r="C56" s="56" t="s">
        <v>586</v>
      </c>
      <c r="D56" s="57"/>
      <c r="E56" s="325" t="b">
        <v>0</v>
      </c>
      <c r="F56" s="56"/>
      <c r="G56" s="56"/>
      <c r="Y56" s="329"/>
      <c r="AC56" s="216" t="s">
        <v>222</v>
      </c>
      <c r="AD56" s="272">
        <v>1</v>
      </c>
    </row>
    <row r="57" spans="1:30" ht="34">
      <c r="A57" s="51" t="s">
        <v>277</v>
      </c>
      <c r="B57" s="60" t="s">
        <v>292</v>
      </c>
      <c r="C57" s="56" t="s">
        <v>586</v>
      </c>
      <c r="D57" s="57"/>
      <c r="E57" s="325" t="b">
        <v>0</v>
      </c>
      <c r="F57" s="56"/>
      <c r="G57" s="56"/>
      <c r="Y57" s="329"/>
      <c r="AC57" s="216" t="s">
        <v>223</v>
      </c>
      <c r="AD57" s="272">
        <v>1</v>
      </c>
    </row>
    <row r="58" spans="1:30" ht="16">
      <c r="A58" s="61" t="s">
        <v>26</v>
      </c>
      <c r="B58" s="53"/>
      <c r="C58" s="54"/>
      <c r="D58" s="55"/>
      <c r="E58" s="54"/>
      <c r="F58" s="54"/>
      <c r="G58" s="54"/>
      <c r="Y58" s="329"/>
      <c r="AC58" s="216"/>
      <c r="AD58" s="272"/>
    </row>
    <row r="59" spans="1:30" ht="18">
      <c r="A59" s="357" t="s">
        <v>590</v>
      </c>
      <c r="B59" s="56">
        <v>2</v>
      </c>
      <c r="C59" s="364" t="s">
        <v>311</v>
      </c>
      <c r="D59" s="57"/>
      <c r="E59" s="325" t="b">
        <v>0</v>
      </c>
      <c r="F59" s="56"/>
      <c r="G59" s="56"/>
      <c r="Y59" s="329"/>
      <c r="AC59" s="216"/>
      <c r="AD59" s="272"/>
    </row>
    <row r="60" spans="1:30" ht="18">
      <c r="A60" s="358" t="s">
        <v>589</v>
      </c>
      <c r="B60" s="56">
        <v>2</v>
      </c>
      <c r="C60" s="364" t="s">
        <v>311</v>
      </c>
      <c r="D60" s="57"/>
      <c r="E60" s="325" t="b">
        <v>0</v>
      </c>
      <c r="F60" s="56"/>
      <c r="G60" s="56"/>
      <c r="Y60" s="329"/>
      <c r="AC60" s="216"/>
      <c r="AD60" s="272"/>
    </row>
    <row r="61" spans="1:30" ht="18">
      <c r="A61" s="357" t="s">
        <v>588</v>
      </c>
      <c r="B61" s="56">
        <v>1</v>
      </c>
      <c r="C61" s="364" t="s">
        <v>311</v>
      </c>
      <c r="D61" s="57"/>
      <c r="E61" s="325" t="b">
        <v>0</v>
      </c>
      <c r="F61" s="56"/>
      <c r="G61" s="56"/>
      <c r="Y61" s="329"/>
      <c r="AC61" s="216"/>
      <c r="AD61" s="272"/>
    </row>
    <row r="62" spans="1:30" ht="18">
      <c r="A62" s="359" t="s">
        <v>587</v>
      </c>
      <c r="B62" s="360">
        <v>1</v>
      </c>
      <c r="C62" s="364" t="s">
        <v>311</v>
      </c>
      <c r="D62" s="57"/>
      <c r="E62" s="325" t="b">
        <v>0</v>
      </c>
      <c r="F62" s="56"/>
      <c r="G62" s="56"/>
      <c r="Y62" s="329"/>
      <c r="AC62" s="216"/>
      <c r="AD62" s="272"/>
    </row>
    <row r="63" spans="1:30" ht="18">
      <c r="A63" s="361" t="s">
        <v>591</v>
      </c>
      <c r="B63" s="362">
        <v>4</v>
      </c>
      <c r="C63" s="364" t="s">
        <v>311</v>
      </c>
      <c r="D63" s="57"/>
      <c r="E63" s="325" t="b">
        <v>0</v>
      </c>
      <c r="F63" s="56"/>
      <c r="G63" s="56"/>
      <c r="Y63" s="329"/>
      <c r="AC63" s="216"/>
      <c r="AD63" s="272"/>
    </row>
    <row r="64" spans="1:30" ht="18">
      <c r="A64" s="50"/>
      <c r="B64" s="56"/>
      <c r="C64" s="56"/>
      <c r="D64" s="57"/>
      <c r="E64" s="325" t="b">
        <v>0</v>
      </c>
      <c r="F64" s="56"/>
      <c r="G64" s="56"/>
      <c r="Y64" s="329"/>
      <c r="AC64" s="216"/>
      <c r="AD64" s="272"/>
    </row>
    <row r="65" spans="1:31" ht="16">
      <c r="A65" s="51"/>
      <c r="B65" s="60"/>
      <c r="C65" s="56"/>
      <c r="D65" s="57"/>
      <c r="E65" s="56"/>
      <c r="F65" s="56"/>
      <c r="G65" s="56"/>
      <c r="Y65" s="329"/>
      <c r="AC65" s="216"/>
      <c r="AD65" s="272"/>
    </row>
    <row r="66" spans="1:31" ht="16">
      <c r="A66" s="61" t="s">
        <v>279</v>
      </c>
      <c r="B66" s="53"/>
      <c r="C66" s="54"/>
      <c r="D66" s="55"/>
      <c r="E66" s="54"/>
      <c r="F66" s="54"/>
      <c r="G66" s="54"/>
      <c r="Y66" s="329"/>
      <c r="AC66" s="216" t="s">
        <v>224</v>
      </c>
      <c r="AD66" s="272">
        <v>1</v>
      </c>
    </row>
    <row r="67" spans="1:31" ht="18">
      <c r="A67" s="50" t="s">
        <v>281</v>
      </c>
      <c r="B67" s="59" t="s">
        <v>192</v>
      </c>
      <c r="C67" s="56" t="s">
        <v>191</v>
      </c>
      <c r="D67" s="57"/>
      <c r="E67" s="325" t="b">
        <v>0</v>
      </c>
      <c r="F67" s="56"/>
      <c r="G67" s="56"/>
      <c r="Y67" s="329"/>
      <c r="AC67" s="216" t="s">
        <v>225</v>
      </c>
      <c r="AD67" s="272">
        <v>30</v>
      </c>
    </row>
    <row r="68" spans="1:31" ht="18">
      <c r="A68" s="50" t="s">
        <v>280</v>
      </c>
      <c r="B68" s="56"/>
      <c r="C68" s="56"/>
      <c r="D68" s="57"/>
      <c r="E68" s="325" t="b">
        <v>0</v>
      </c>
      <c r="F68" s="56"/>
      <c r="G68" s="56"/>
      <c r="Y68" s="329"/>
      <c r="AC68" s="216" t="s">
        <v>227</v>
      </c>
      <c r="AD68" s="272">
        <v>2</v>
      </c>
    </row>
    <row r="69" spans="1:31" ht="18">
      <c r="A69" s="50" t="s">
        <v>282</v>
      </c>
      <c r="B69" s="56"/>
      <c r="C69" s="56"/>
      <c r="D69" s="57"/>
      <c r="E69" s="325" t="b">
        <v>0</v>
      </c>
      <c r="F69" s="56"/>
      <c r="G69" s="56"/>
      <c r="Y69" s="329"/>
      <c r="AC69" s="216" t="s">
        <v>228</v>
      </c>
      <c r="AD69" s="272">
        <v>1</v>
      </c>
    </row>
    <row r="70" spans="1:31" ht="18">
      <c r="A70" s="50" t="s">
        <v>283</v>
      </c>
      <c r="B70" s="56"/>
      <c r="C70" s="56"/>
      <c r="D70" s="57"/>
      <c r="E70" s="325" t="b">
        <v>0</v>
      </c>
      <c r="F70" s="56"/>
      <c r="G70" s="56"/>
      <c r="Y70" s="329"/>
      <c r="AC70" s="216" t="s">
        <v>229</v>
      </c>
      <c r="AD70" s="272">
        <v>1</v>
      </c>
      <c r="AE70" t="s">
        <v>226</v>
      </c>
    </row>
    <row r="71" spans="1:31" ht="18">
      <c r="A71" s="50"/>
      <c r="B71" s="56"/>
      <c r="C71" s="56"/>
      <c r="D71" s="57"/>
      <c r="E71" s="325" t="b">
        <v>0</v>
      </c>
      <c r="F71" s="56"/>
      <c r="G71" s="56"/>
      <c r="Y71" s="329"/>
      <c r="AC71" s="216" t="s">
        <v>230</v>
      </c>
      <c r="AD71" s="272">
        <v>24</v>
      </c>
    </row>
    <row r="72" spans="1:31" ht="18">
      <c r="A72" s="50"/>
      <c r="B72" s="56"/>
      <c r="C72" s="56"/>
      <c r="D72" s="57"/>
      <c r="E72" s="325" t="b">
        <v>0</v>
      </c>
      <c r="F72" s="56"/>
      <c r="G72" s="56"/>
      <c r="Y72" s="329"/>
      <c r="AC72" s="216" t="s">
        <v>231</v>
      </c>
      <c r="AD72" s="272">
        <v>20</v>
      </c>
    </row>
    <row r="73" spans="1:31" ht="16">
      <c r="A73" s="61" t="s">
        <v>24</v>
      </c>
      <c r="B73" s="53"/>
      <c r="C73" s="54"/>
      <c r="D73" s="55"/>
      <c r="E73" s="54"/>
      <c r="F73" s="54"/>
      <c r="G73" s="54"/>
      <c r="Y73" s="329"/>
      <c r="AC73" s="216" t="s">
        <v>232</v>
      </c>
      <c r="AD73" s="272">
        <v>40</v>
      </c>
    </row>
    <row r="74" spans="1:31" ht="18">
      <c r="A74" s="50" t="s">
        <v>230</v>
      </c>
      <c r="B74" s="56"/>
      <c r="C74" s="56"/>
      <c r="D74" s="57"/>
      <c r="E74" s="325" t="b">
        <v>0</v>
      </c>
      <c r="F74" s="56"/>
      <c r="G74" s="56"/>
      <c r="Y74" s="329"/>
      <c r="AC74" s="216" t="s">
        <v>233</v>
      </c>
      <c r="AD74" s="272">
        <v>150</v>
      </c>
    </row>
    <row r="75" spans="1:31" ht="18">
      <c r="A75" s="50" t="s">
        <v>231</v>
      </c>
      <c r="B75" s="56"/>
      <c r="C75" s="56"/>
      <c r="D75" s="57"/>
      <c r="E75" s="325" t="b">
        <v>0</v>
      </c>
      <c r="F75" s="56"/>
      <c r="G75" s="56"/>
      <c r="Y75" s="329"/>
      <c r="AC75" s="216" t="s">
        <v>234</v>
      </c>
      <c r="AD75" s="272">
        <v>8</v>
      </c>
    </row>
    <row r="76" spans="1:31" ht="18">
      <c r="A76" s="50" t="s">
        <v>253</v>
      </c>
      <c r="B76" s="56"/>
      <c r="C76" s="56"/>
      <c r="D76" s="57"/>
      <c r="E76" s="325" t="b">
        <v>0</v>
      </c>
      <c r="F76" s="56"/>
      <c r="G76" s="56"/>
      <c r="Y76" s="329"/>
      <c r="AC76" s="216" t="s">
        <v>235</v>
      </c>
      <c r="AD76" s="272">
        <v>1</v>
      </c>
    </row>
    <row r="77" spans="1:31" ht="18">
      <c r="A77" s="50" t="s">
        <v>284</v>
      </c>
      <c r="B77" s="56"/>
      <c r="C77" s="56"/>
      <c r="D77" s="57"/>
      <c r="E77" s="325" t="b">
        <v>0</v>
      </c>
      <c r="F77" s="56"/>
      <c r="G77" s="56"/>
      <c r="Y77" s="329"/>
      <c r="AC77" s="216" t="s">
        <v>236</v>
      </c>
      <c r="AD77" s="272">
        <v>1</v>
      </c>
    </row>
    <row r="78" spans="1:31" ht="18">
      <c r="A78" s="50" t="s">
        <v>285</v>
      </c>
      <c r="B78" s="56"/>
      <c r="C78" s="56"/>
      <c r="D78" s="57"/>
      <c r="E78" s="325" t="b">
        <v>0</v>
      </c>
      <c r="F78" s="56"/>
      <c r="G78" s="56"/>
      <c r="Y78" s="329"/>
      <c r="AC78" s="216" t="s">
        <v>237</v>
      </c>
      <c r="AD78" s="272">
        <v>1</v>
      </c>
    </row>
    <row r="79" spans="1:31" ht="18">
      <c r="A79" s="50" t="s">
        <v>286</v>
      </c>
      <c r="B79" s="56"/>
      <c r="C79" s="56"/>
      <c r="D79" s="57"/>
      <c r="E79" s="325" t="b">
        <v>0</v>
      </c>
      <c r="F79" s="56"/>
      <c r="G79" s="56"/>
      <c r="Y79" s="329"/>
      <c r="AC79" s="216" t="s">
        <v>238</v>
      </c>
      <c r="AD79" s="272" t="s">
        <v>239</v>
      </c>
    </row>
    <row r="80" spans="1:31" ht="16">
      <c r="A80" s="61" t="s">
        <v>337</v>
      </c>
      <c r="B80" s="53"/>
      <c r="C80" s="54"/>
      <c r="D80" s="55"/>
      <c r="E80" s="54"/>
      <c r="F80" s="54"/>
      <c r="G80" s="54"/>
      <c r="Y80" s="329"/>
    </row>
    <row r="81" spans="1:25" ht="18">
      <c r="A81" s="50" t="s">
        <v>254</v>
      </c>
      <c r="B81" s="56"/>
      <c r="C81" s="56"/>
      <c r="D81" s="57"/>
      <c r="E81" s="325" t="b">
        <v>0</v>
      </c>
      <c r="F81" s="56"/>
      <c r="G81" s="56"/>
      <c r="Y81" s="329"/>
    </row>
    <row r="82" spans="1:25" ht="18">
      <c r="A82" s="50" t="s">
        <v>255</v>
      </c>
      <c r="B82" s="56"/>
      <c r="C82" s="56"/>
      <c r="D82" s="57"/>
      <c r="E82" s="325" t="b">
        <v>0</v>
      </c>
      <c r="F82" s="56"/>
      <c r="G82" s="56"/>
      <c r="Y82" s="329"/>
    </row>
    <row r="83" spans="1:25" ht="18">
      <c r="A83" s="50" t="s">
        <v>197</v>
      </c>
      <c r="B83" s="56"/>
      <c r="C83" s="56"/>
      <c r="D83" s="57"/>
      <c r="E83" s="325" t="b">
        <v>0</v>
      </c>
      <c r="F83" s="56"/>
      <c r="G83" s="56"/>
      <c r="Y83" s="329"/>
    </row>
    <row r="84" spans="1:25" ht="18">
      <c r="A84" s="50" t="s">
        <v>198</v>
      </c>
      <c r="B84" s="56"/>
      <c r="C84" s="56"/>
      <c r="D84" s="57"/>
      <c r="E84" s="325" t="b">
        <v>0</v>
      </c>
      <c r="F84" s="56"/>
      <c r="G84" s="56"/>
      <c r="Y84" s="329"/>
    </row>
    <row r="85" spans="1:25" ht="18">
      <c r="A85" s="50" t="s">
        <v>287</v>
      </c>
      <c r="B85" s="56" t="s">
        <v>289</v>
      </c>
      <c r="C85" s="56"/>
      <c r="D85" s="57"/>
      <c r="E85" s="325" t="b">
        <v>0</v>
      </c>
      <c r="F85" s="56"/>
      <c r="G85" s="56"/>
      <c r="Y85" s="329"/>
    </row>
    <row r="86" spans="1:25" ht="18">
      <c r="A86" s="50"/>
      <c r="B86" s="56"/>
      <c r="C86" s="56"/>
      <c r="D86" s="57"/>
      <c r="E86" s="325" t="b">
        <v>0</v>
      </c>
      <c r="F86" s="56"/>
      <c r="G86" s="56"/>
      <c r="Y86" s="329"/>
    </row>
    <row r="87" spans="1:25" ht="16">
      <c r="A87" s="61" t="s">
        <v>25</v>
      </c>
      <c r="B87" s="53"/>
      <c r="C87" s="54"/>
      <c r="D87" s="55"/>
      <c r="E87" s="54"/>
      <c r="F87" s="54"/>
      <c r="G87" s="54"/>
      <c r="Y87" s="329"/>
    </row>
    <row r="88" spans="1:25" ht="18">
      <c r="A88" s="50" t="s">
        <v>256</v>
      </c>
      <c r="B88" s="56"/>
      <c r="C88" s="56"/>
      <c r="D88" s="57"/>
      <c r="E88" s="325" t="b">
        <v>0</v>
      </c>
      <c r="F88" s="56"/>
      <c r="G88" s="56"/>
      <c r="Y88" s="329"/>
    </row>
    <row r="89" spans="1:25" ht="18">
      <c r="A89" s="50" t="s">
        <v>257</v>
      </c>
      <c r="B89" s="56" t="s">
        <v>551</v>
      </c>
      <c r="C89" s="56"/>
      <c r="D89" s="57"/>
      <c r="E89" s="325" t="b">
        <v>0</v>
      </c>
      <c r="F89" s="56"/>
      <c r="G89" s="56"/>
      <c r="Y89" s="329"/>
    </row>
    <row r="90" spans="1:25" ht="18">
      <c r="A90" s="50" t="s">
        <v>258</v>
      </c>
      <c r="B90" s="56"/>
      <c r="C90" s="56"/>
      <c r="D90" s="57"/>
      <c r="E90" s="325" t="b">
        <v>0</v>
      </c>
      <c r="F90" s="56"/>
      <c r="G90" s="56"/>
      <c r="Y90" s="329"/>
    </row>
    <row r="91" spans="1:25" ht="18">
      <c r="A91" s="50" t="s">
        <v>310</v>
      </c>
      <c r="B91" s="56"/>
      <c r="C91" s="56"/>
      <c r="D91" s="57"/>
      <c r="E91" s="325" t="b">
        <v>0</v>
      </c>
      <c r="F91" s="56"/>
      <c r="G91" s="56"/>
      <c r="Y91" s="329"/>
    </row>
    <row r="92" spans="1:25" ht="18">
      <c r="A92" s="50" t="s">
        <v>259</v>
      </c>
      <c r="B92" s="56"/>
      <c r="C92" s="56"/>
      <c r="D92" s="57"/>
      <c r="E92" s="325" t="b">
        <v>0</v>
      </c>
      <c r="F92" s="56"/>
      <c r="G92" s="56"/>
      <c r="Y92" s="329"/>
    </row>
    <row r="93" spans="1:25" ht="18">
      <c r="A93" s="50" t="s">
        <v>234</v>
      </c>
      <c r="C93" s="56" t="s">
        <v>578</v>
      </c>
      <c r="D93" s="57"/>
      <c r="E93" s="325" t="b">
        <v>0</v>
      </c>
      <c r="F93" s="56"/>
      <c r="G93" s="56"/>
      <c r="Y93" s="329"/>
    </row>
    <row r="94" spans="1:25" ht="16">
      <c r="A94" s="61" t="s">
        <v>23</v>
      </c>
      <c r="B94" s="53"/>
      <c r="C94" s="54"/>
      <c r="D94" s="55"/>
      <c r="E94" s="54"/>
      <c r="F94" s="54"/>
      <c r="G94" s="54"/>
      <c r="Y94" s="329"/>
    </row>
    <row r="95" spans="1:25" ht="18">
      <c r="A95" s="50" t="s">
        <v>576</v>
      </c>
      <c r="B95" s="56"/>
      <c r="C95" s="56" t="s">
        <v>311</v>
      </c>
      <c r="D95" s="57"/>
      <c r="E95" s="325" t="b">
        <v>0</v>
      </c>
      <c r="F95" s="56"/>
      <c r="G95" s="56"/>
      <c r="Y95" s="329"/>
    </row>
    <row r="96" spans="1:25" ht="18">
      <c r="A96" s="50" t="s">
        <v>260</v>
      </c>
      <c r="B96" s="56"/>
      <c r="C96" s="56" t="s">
        <v>311</v>
      </c>
      <c r="D96" s="57"/>
      <c r="E96" s="325" t="b">
        <v>0</v>
      </c>
      <c r="F96" s="56"/>
      <c r="G96" s="56"/>
      <c r="Y96" s="329"/>
    </row>
    <row r="97" spans="1:25" ht="18">
      <c r="A97" s="50" t="s">
        <v>267</v>
      </c>
      <c r="B97" s="56" t="s">
        <v>46</v>
      </c>
      <c r="C97" s="56"/>
      <c r="D97" s="57"/>
      <c r="E97" s="325" t="b">
        <v>0</v>
      </c>
      <c r="F97" s="56"/>
      <c r="G97" s="56"/>
      <c r="Y97" s="329"/>
    </row>
    <row r="98" spans="1:25" ht="18">
      <c r="C98" s="56"/>
      <c r="D98" s="57"/>
      <c r="E98" s="325" t="b">
        <v>0</v>
      </c>
      <c r="F98" s="56"/>
      <c r="G98" s="56"/>
      <c r="Y98" s="329"/>
    </row>
    <row r="99" spans="1:25" ht="18">
      <c r="A99" s="50"/>
      <c r="B99" s="56"/>
      <c r="C99" s="56"/>
      <c r="D99" s="57"/>
      <c r="E99" s="325" t="b">
        <v>0</v>
      </c>
      <c r="F99" s="56"/>
      <c r="G99" s="56"/>
      <c r="Y99" s="329"/>
    </row>
    <row r="100" spans="1:25" ht="18">
      <c r="A100" s="50"/>
      <c r="B100" s="56"/>
      <c r="C100" s="56"/>
      <c r="D100" s="57"/>
      <c r="E100" s="325" t="b">
        <v>0</v>
      </c>
      <c r="F100" s="56"/>
      <c r="G100" s="56"/>
      <c r="Y100" s="329"/>
    </row>
    <row r="101" spans="1:25" ht="16">
      <c r="A101" s="61" t="s">
        <v>26</v>
      </c>
      <c r="B101" s="53"/>
      <c r="C101" s="54"/>
      <c r="D101" s="55"/>
      <c r="E101" s="54"/>
      <c r="F101" s="54"/>
      <c r="G101" s="54"/>
      <c r="Y101" s="329"/>
    </row>
    <row r="102" spans="1:25" ht="68">
      <c r="A102" s="50" t="s">
        <v>261</v>
      </c>
      <c r="B102" s="60" t="s">
        <v>278</v>
      </c>
      <c r="C102" s="56"/>
      <c r="D102" s="57"/>
      <c r="E102" s="325" t="b">
        <v>0</v>
      </c>
      <c r="F102" s="56"/>
      <c r="G102" s="56"/>
      <c r="Y102" s="329"/>
    </row>
    <row r="103" spans="1:25" ht="18">
      <c r="A103" s="50" t="s">
        <v>262</v>
      </c>
      <c r="B103" s="56" t="s">
        <v>583</v>
      </c>
      <c r="C103" s="56" t="s">
        <v>524</v>
      </c>
      <c r="D103" s="57"/>
      <c r="E103" s="325" t="b">
        <v>0</v>
      </c>
      <c r="F103" s="56"/>
      <c r="G103" s="56"/>
      <c r="Y103" s="329"/>
    </row>
    <row r="104" spans="1:25" ht="18">
      <c r="A104" s="50" t="s">
        <v>263</v>
      </c>
      <c r="B104" s="56"/>
      <c r="C104" s="56" t="s">
        <v>524</v>
      </c>
      <c r="D104" s="57"/>
      <c r="E104" s="325" t="b">
        <v>0</v>
      </c>
      <c r="F104" s="56"/>
      <c r="G104" s="56"/>
      <c r="Y104" s="329"/>
    </row>
    <row r="105" spans="1:25" ht="18">
      <c r="A105" s="50" t="s">
        <v>264</v>
      </c>
      <c r="B105" s="56" t="s">
        <v>581</v>
      </c>
      <c r="C105" s="56" t="s">
        <v>582</v>
      </c>
      <c r="D105" s="57"/>
      <c r="E105" s="325" t="b">
        <v>0</v>
      </c>
      <c r="F105" s="56"/>
      <c r="G105" s="56"/>
      <c r="Y105" s="329"/>
    </row>
    <row r="106" spans="1:25" ht="18">
      <c r="A106" s="50" t="s">
        <v>265</v>
      </c>
      <c r="B106" s="56" t="s">
        <v>577</v>
      </c>
      <c r="C106" s="56" t="s">
        <v>311</v>
      </c>
      <c r="D106" s="57"/>
      <c r="E106" s="325" t="b">
        <v>0</v>
      </c>
      <c r="F106" s="56"/>
      <c r="G106" s="56"/>
      <c r="Y106" s="329"/>
    </row>
    <row r="107" spans="1:25" ht="18">
      <c r="A107" s="50" t="s">
        <v>266</v>
      </c>
      <c r="B107" s="56" t="s">
        <v>290</v>
      </c>
      <c r="C107" s="56" t="s">
        <v>311</v>
      </c>
      <c r="D107" s="57"/>
      <c r="E107" s="325" t="b">
        <v>0</v>
      </c>
      <c r="F107" s="56"/>
      <c r="G107" s="56"/>
      <c r="Y107" s="329"/>
    </row>
    <row r="108" spans="1:25" ht="16" hidden="1" customHeight="1">
      <c r="A108" s="51"/>
      <c r="B108" s="59"/>
      <c r="C108" s="59"/>
      <c r="D108" s="59"/>
      <c r="E108" s="59"/>
      <c r="F108" s="59"/>
      <c r="G108" s="59"/>
      <c r="Y108" s="329"/>
    </row>
    <row r="109" spans="1:25" ht="16" hidden="1" customHeight="1">
      <c r="A109" s="51"/>
      <c r="B109" s="59"/>
      <c r="C109" s="59"/>
      <c r="D109" s="59"/>
      <c r="E109" s="59"/>
      <c r="F109" s="59"/>
      <c r="G109" s="59"/>
      <c r="Y109" s="329"/>
    </row>
    <row r="110" spans="1:25" ht="16" hidden="1" customHeight="1">
      <c r="A110" s="51"/>
      <c r="B110" s="59"/>
      <c r="C110" s="59"/>
      <c r="D110" s="59"/>
      <c r="E110" s="59"/>
      <c r="F110" s="59"/>
      <c r="G110" s="59"/>
      <c r="Y110" s="329"/>
    </row>
    <row r="111" spans="1:25" ht="16" hidden="1" customHeight="1">
      <c r="A111" s="51"/>
      <c r="B111" s="59"/>
      <c r="C111" s="59"/>
      <c r="D111" s="59"/>
      <c r="E111" s="59"/>
      <c r="F111" s="59"/>
      <c r="G111" s="59"/>
      <c r="Y111" s="329"/>
    </row>
    <row r="112" spans="1:25" ht="16" hidden="1" customHeight="1">
      <c r="A112" s="51"/>
      <c r="B112" s="59"/>
      <c r="C112" s="59"/>
      <c r="D112" s="59"/>
      <c r="E112" s="59"/>
      <c r="F112" s="59"/>
      <c r="G112" s="59"/>
      <c r="Y112" s="329"/>
    </row>
    <row r="113" spans="1:25" ht="16" hidden="1" customHeight="1">
      <c r="A113" s="51"/>
      <c r="B113" s="59"/>
      <c r="C113" s="59"/>
      <c r="D113" s="59"/>
      <c r="E113" s="59"/>
      <c r="F113" s="59"/>
      <c r="G113" s="59"/>
      <c r="Y113" s="329"/>
    </row>
    <row r="114" spans="1:25" ht="16" hidden="1" customHeight="1">
      <c r="A114" s="51"/>
      <c r="B114" s="59"/>
      <c r="C114" s="59"/>
      <c r="D114" s="59"/>
      <c r="E114" s="59"/>
      <c r="F114" s="59"/>
      <c r="G114" s="59"/>
      <c r="Y114" s="329"/>
    </row>
    <row r="115" spans="1:25" ht="16" hidden="1" customHeight="1">
      <c r="A115" s="51"/>
      <c r="B115" s="59"/>
      <c r="C115" s="59"/>
      <c r="D115" s="59"/>
      <c r="E115" s="59"/>
      <c r="F115" s="59"/>
      <c r="G115" s="59"/>
      <c r="Y115" s="329"/>
    </row>
    <row r="116" spans="1:25" ht="16" hidden="1" customHeight="1">
      <c r="A116" s="51"/>
      <c r="B116" s="59"/>
      <c r="C116" s="59"/>
      <c r="D116" s="59"/>
      <c r="E116" s="59"/>
      <c r="F116" s="59"/>
      <c r="G116" s="59"/>
      <c r="Y116" s="329"/>
    </row>
    <row r="117" spans="1:25" ht="16" hidden="1" customHeight="1">
      <c r="A117" s="51"/>
      <c r="B117" s="59"/>
      <c r="C117" s="59"/>
      <c r="D117" s="59"/>
      <c r="E117" s="59"/>
      <c r="F117" s="59"/>
      <c r="G117" s="59"/>
      <c r="Y117" s="329"/>
    </row>
    <row r="118" spans="1:25" ht="16" hidden="1" customHeight="1">
      <c r="A118" s="51"/>
      <c r="B118" s="59"/>
      <c r="C118" s="59"/>
      <c r="D118" s="59"/>
      <c r="E118" s="59"/>
      <c r="F118" s="59"/>
      <c r="G118" s="59"/>
      <c r="Y118" s="329"/>
    </row>
    <row r="119" spans="1:25" ht="16" hidden="1" customHeight="1">
      <c r="A119" s="51"/>
      <c r="B119" s="59"/>
      <c r="C119" s="59"/>
      <c r="D119" s="59"/>
      <c r="E119" s="59"/>
      <c r="F119" s="59"/>
      <c r="G119" s="59"/>
      <c r="Y119" s="329"/>
    </row>
    <row r="120" spans="1:25" ht="16" hidden="1" customHeight="1">
      <c r="A120" s="51"/>
      <c r="B120" s="59"/>
      <c r="C120" s="59"/>
      <c r="D120" s="59"/>
      <c r="E120" s="59"/>
      <c r="F120" s="59"/>
      <c r="G120" s="59"/>
      <c r="Y120" s="329"/>
    </row>
    <row r="121" spans="1:25" ht="16" hidden="1" customHeight="1">
      <c r="A121" s="51"/>
      <c r="B121" s="59"/>
      <c r="C121" s="59"/>
      <c r="D121" s="59"/>
      <c r="E121" s="59"/>
      <c r="F121" s="59"/>
      <c r="G121" s="59"/>
      <c r="Y121" s="329"/>
    </row>
    <row r="122" spans="1:25" ht="16" hidden="1" customHeight="1">
      <c r="A122" s="51"/>
      <c r="B122" s="59"/>
      <c r="C122" s="59"/>
      <c r="D122" s="59"/>
      <c r="E122" s="59"/>
      <c r="F122" s="59"/>
      <c r="G122" s="59"/>
      <c r="Y122" s="329"/>
    </row>
    <row r="123" spans="1:25" ht="16" hidden="1" customHeight="1">
      <c r="A123" s="51"/>
      <c r="B123" s="59"/>
      <c r="C123" s="59"/>
      <c r="D123" s="59"/>
      <c r="E123" s="59"/>
      <c r="F123" s="59"/>
      <c r="G123" s="59"/>
      <c r="Y123" s="329"/>
    </row>
    <row r="124" spans="1:25" ht="16" hidden="1" customHeight="1">
      <c r="A124" s="51"/>
      <c r="B124" s="59"/>
      <c r="C124" s="59"/>
      <c r="D124" s="59"/>
      <c r="E124" s="59"/>
      <c r="F124" s="59"/>
      <c r="G124" s="59"/>
      <c r="Y124" s="329"/>
    </row>
    <row r="125" spans="1:25" ht="16" hidden="1" customHeight="1">
      <c r="A125" s="51"/>
      <c r="B125" s="59"/>
      <c r="C125" s="59"/>
      <c r="D125" s="59"/>
      <c r="E125" s="59"/>
      <c r="F125" s="59"/>
      <c r="G125" s="59"/>
      <c r="Y125" s="329"/>
    </row>
    <row r="126" spans="1:25" ht="16" hidden="1" customHeight="1">
      <c r="A126" s="51"/>
      <c r="B126" s="59"/>
      <c r="C126" s="59"/>
      <c r="D126" s="59"/>
      <c r="E126" s="59"/>
      <c r="F126" s="59"/>
      <c r="G126" s="59"/>
      <c r="Y126" s="329"/>
    </row>
    <row r="127" spans="1:25" ht="16" hidden="1" customHeight="1">
      <c r="A127" s="51"/>
      <c r="B127" s="59"/>
      <c r="C127" s="59"/>
      <c r="D127" s="59"/>
      <c r="E127" s="59"/>
      <c r="F127" s="59"/>
      <c r="G127" s="59"/>
      <c r="Y127" s="329"/>
    </row>
    <row r="128" spans="1:25" ht="16" hidden="1" customHeight="1">
      <c r="A128" s="51"/>
      <c r="B128" s="59"/>
      <c r="C128" s="59"/>
      <c r="D128" s="59"/>
      <c r="E128" s="59"/>
      <c r="F128" s="59"/>
      <c r="G128" s="59"/>
      <c r="Y128" s="329"/>
    </row>
    <row r="129" spans="1:25" ht="16" hidden="1" customHeight="1">
      <c r="A129" s="51"/>
      <c r="B129" s="59"/>
      <c r="C129" s="59"/>
      <c r="D129" s="59"/>
      <c r="E129" s="59"/>
      <c r="F129" s="59"/>
      <c r="G129" s="59"/>
      <c r="Y129" s="329"/>
    </row>
    <row r="130" spans="1:25" ht="16" hidden="1" customHeight="1">
      <c r="A130" s="51"/>
      <c r="B130" s="59"/>
      <c r="C130" s="59"/>
      <c r="D130" s="59"/>
      <c r="E130" s="59"/>
      <c r="F130" s="59"/>
      <c r="G130" s="59"/>
      <c r="Y130" s="329"/>
    </row>
    <row r="131" spans="1:25" ht="16" hidden="1" customHeight="1">
      <c r="A131" s="51"/>
      <c r="B131" s="59"/>
      <c r="C131" s="59"/>
      <c r="D131" s="59"/>
      <c r="E131" s="59"/>
      <c r="F131" s="59"/>
      <c r="G131" s="59"/>
      <c r="Y131" s="329"/>
    </row>
    <row r="132" spans="1:25" ht="16" hidden="1" customHeight="1">
      <c r="A132" s="51"/>
      <c r="B132" s="59"/>
      <c r="C132" s="59"/>
      <c r="D132" s="59"/>
      <c r="E132" s="59"/>
      <c r="F132" s="59"/>
      <c r="G132" s="59"/>
      <c r="Y132" s="329"/>
    </row>
    <row r="133" spans="1:25" ht="16" hidden="1" customHeight="1">
      <c r="A133" s="51"/>
      <c r="B133" s="59"/>
      <c r="C133" s="59"/>
      <c r="D133" s="59"/>
      <c r="E133" s="59"/>
      <c r="F133" s="59"/>
      <c r="G133" s="59"/>
      <c r="Y133" s="329"/>
    </row>
    <row r="134" spans="1:25" ht="16" hidden="1" customHeight="1">
      <c r="A134" s="51"/>
      <c r="B134" s="59"/>
      <c r="C134" s="59"/>
      <c r="D134" s="59"/>
      <c r="E134" s="59"/>
      <c r="F134" s="59"/>
      <c r="G134" s="59"/>
      <c r="Y134" s="329"/>
    </row>
    <row r="135" spans="1:25" ht="16" hidden="1" customHeight="1">
      <c r="A135" s="51"/>
      <c r="B135" s="59"/>
      <c r="C135" s="59"/>
      <c r="D135" s="59"/>
      <c r="E135" s="59"/>
      <c r="F135" s="59"/>
      <c r="G135" s="59"/>
      <c r="Y135" s="329"/>
    </row>
    <row r="136" spans="1:25" ht="16" hidden="1" customHeight="1">
      <c r="A136" s="51"/>
      <c r="B136" s="59"/>
      <c r="C136" s="59"/>
      <c r="D136" s="59"/>
      <c r="E136" s="59"/>
      <c r="F136" s="59"/>
      <c r="G136" s="59"/>
      <c r="Y136" s="329"/>
    </row>
    <row r="137" spans="1:25" ht="16" hidden="1" customHeight="1">
      <c r="A137" s="51"/>
      <c r="B137" s="59"/>
      <c r="C137" s="59"/>
      <c r="D137" s="59"/>
      <c r="E137" s="59"/>
      <c r="F137" s="59"/>
      <c r="G137" s="59"/>
      <c r="Y137" s="329"/>
    </row>
    <row r="138" spans="1:25" ht="16" hidden="1" customHeight="1">
      <c r="A138" s="51"/>
      <c r="B138" s="59"/>
      <c r="C138" s="59"/>
      <c r="D138" s="59"/>
      <c r="E138" s="59"/>
      <c r="F138" s="59"/>
      <c r="G138" s="59"/>
      <c r="Y138" s="329"/>
    </row>
    <row r="139" spans="1:25" ht="16" hidden="1" customHeight="1">
      <c r="A139" s="51"/>
      <c r="B139" s="59"/>
      <c r="C139" s="59"/>
      <c r="D139" s="59"/>
      <c r="E139" s="59"/>
      <c r="F139" s="59"/>
      <c r="G139" s="59"/>
      <c r="Y139" s="329"/>
    </row>
    <row r="140" spans="1:25" ht="16" hidden="1" customHeight="1">
      <c r="A140" s="51"/>
      <c r="B140" s="59"/>
      <c r="C140" s="59"/>
      <c r="D140" s="59"/>
      <c r="E140" s="59"/>
      <c r="F140" s="59"/>
      <c r="G140" s="59"/>
      <c r="Y140" s="329"/>
    </row>
    <row r="141" spans="1:25" ht="16" hidden="1" customHeight="1">
      <c r="A141" s="51"/>
      <c r="B141" s="59"/>
      <c r="C141" s="59"/>
      <c r="D141" s="59"/>
      <c r="E141" s="59"/>
      <c r="F141" s="59"/>
      <c r="G141" s="59"/>
      <c r="Y141" s="329"/>
    </row>
    <row r="142" spans="1:25" ht="16" hidden="1" customHeight="1">
      <c r="A142" s="51"/>
      <c r="B142" s="59"/>
      <c r="C142" s="59"/>
      <c r="D142" s="59"/>
      <c r="E142" s="59"/>
      <c r="F142" s="59"/>
      <c r="G142" s="59"/>
      <c r="Y142" s="329"/>
    </row>
    <row r="143" spans="1:25" ht="16" hidden="1" customHeight="1">
      <c r="A143" s="51"/>
      <c r="B143" s="59"/>
      <c r="C143" s="59"/>
      <c r="D143" s="59"/>
      <c r="E143" s="59"/>
      <c r="F143" s="59"/>
      <c r="G143" s="59"/>
      <c r="Y143" s="329"/>
    </row>
    <row r="144" spans="1:25" ht="16" hidden="1" customHeight="1">
      <c r="A144" s="51"/>
      <c r="B144" s="59"/>
      <c r="C144" s="59"/>
      <c r="D144" s="59"/>
      <c r="E144" s="59"/>
      <c r="F144" s="59"/>
      <c r="G144" s="59"/>
      <c r="Y144" s="329"/>
    </row>
    <row r="145" spans="1:25" ht="16" hidden="1" customHeight="1">
      <c r="A145" s="51"/>
      <c r="B145" s="59"/>
      <c r="C145" s="59"/>
      <c r="D145" s="59"/>
      <c r="E145" s="59"/>
      <c r="F145" s="59"/>
      <c r="G145" s="59"/>
      <c r="Y145" s="329"/>
    </row>
    <row r="146" spans="1:25" ht="16" hidden="1" customHeight="1">
      <c r="A146" s="51"/>
      <c r="B146" s="59"/>
      <c r="C146" s="59"/>
      <c r="D146" s="59"/>
      <c r="E146" s="59"/>
      <c r="F146" s="59"/>
      <c r="G146" s="59"/>
      <c r="Y146" s="329"/>
    </row>
    <row r="147" spans="1:25" ht="16" hidden="1" customHeight="1">
      <c r="A147" s="51"/>
      <c r="B147" s="59"/>
      <c r="C147" s="59"/>
      <c r="D147" s="59"/>
      <c r="E147" s="59"/>
      <c r="F147" s="59"/>
      <c r="G147" s="59"/>
      <c r="Y147" s="329"/>
    </row>
    <row r="148" spans="1:25" ht="16" hidden="1" customHeight="1">
      <c r="A148" s="51"/>
      <c r="B148" s="59"/>
      <c r="C148" s="59"/>
      <c r="D148" s="59"/>
      <c r="E148" s="59"/>
      <c r="F148" s="59"/>
      <c r="G148" s="59"/>
      <c r="Y148" s="329"/>
    </row>
    <row r="149" spans="1:25" ht="16" hidden="1" customHeight="1">
      <c r="A149" s="51"/>
      <c r="B149" s="59"/>
      <c r="C149" s="59"/>
      <c r="D149" s="59"/>
      <c r="E149" s="59"/>
      <c r="F149" s="59"/>
      <c r="G149" s="59"/>
      <c r="Y149" s="329"/>
    </row>
    <row r="150" spans="1:25" ht="16" hidden="1" customHeight="1">
      <c r="A150" s="51"/>
      <c r="B150" s="59"/>
      <c r="C150" s="59"/>
      <c r="D150" s="59"/>
      <c r="E150" s="59"/>
      <c r="F150" s="59"/>
      <c r="G150" s="59"/>
      <c r="Y150" s="329"/>
    </row>
    <row r="151" spans="1:25" ht="16" hidden="1" customHeight="1">
      <c r="A151" s="51"/>
      <c r="B151" s="59"/>
      <c r="C151" s="59"/>
      <c r="D151" s="59"/>
      <c r="E151" s="59"/>
      <c r="F151" s="59"/>
      <c r="G151" s="59"/>
      <c r="Y151" s="329"/>
    </row>
    <row r="152" spans="1:25" ht="16" hidden="1" customHeight="1">
      <c r="A152" s="51"/>
      <c r="B152" s="59"/>
      <c r="C152" s="59"/>
      <c r="D152" s="59"/>
      <c r="E152" s="59"/>
      <c r="F152" s="59"/>
      <c r="G152" s="59"/>
      <c r="Y152" s="329"/>
    </row>
    <row r="153" spans="1:25" ht="16" hidden="1" customHeight="1">
      <c r="A153" s="51"/>
      <c r="B153" s="59"/>
      <c r="C153" s="59"/>
      <c r="D153" s="59"/>
      <c r="E153" s="59"/>
      <c r="F153" s="59"/>
      <c r="G153" s="59"/>
      <c r="Y153" s="329"/>
    </row>
    <row r="154" spans="1:25" ht="16" hidden="1" customHeight="1">
      <c r="A154" s="51"/>
      <c r="B154" s="59"/>
      <c r="C154" s="59"/>
      <c r="D154" s="59"/>
      <c r="E154" s="59"/>
      <c r="F154" s="59"/>
      <c r="G154" s="59"/>
      <c r="Y154" s="329"/>
    </row>
    <row r="155" spans="1:25" ht="16" hidden="1" customHeight="1">
      <c r="A155" s="51"/>
      <c r="B155" s="59"/>
      <c r="C155" s="59"/>
      <c r="D155" s="59"/>
      <c r="E155" s="59"/>
      <c r="F155" s="59"/>
      <c r="G155" s="59"/>
      <c r="Y155" s="329"/>
    </row>
    <row r="156" spans="1:25" ht="16" hidden="1" customHeight="1">
      <c r="A156" s="51"/>
      <c r="B156" s="59"/>
      <c r="C156" s="59"/>
      <c r="D156" s="59"/>
      <c r="E156" s="59"/>
      <c r="F156" s="59"/>
      <c r="G156" s="59"/>
      <c r="Y156" s="329"/>
    </row>
    <row r="157" spans="1:25" ht="16" hidden="1" customHeight="1">
      <c r="A157" s="51"/>
      <c r="B157" s="59"/>
      <c r="C157" s="59"/>
      <c r="D157" s="59"/>
      <c r="E157" s="59"/>
      <c r="F157" s="59"/>
      <c r="G157" s="59"/>
      <c r="Y157" s="329"/>
    </row>
    <row r="158" spans="1:25" ht="16" hidden="1" customHeight="1">
      <c r="A158" s="51"/>
      <c r="B158" s="59"/>
      <c r="C158" s="59"/>
      <c r="D158" s="59"/>
      <c r="E158" s="59"/>
      <c r="F158" s="59"/>
      <c r="G158" s="59"/>
      <c r="Y158" s="329"/>
    </row>
    <row r="159" spans="1:25" ht="16" hidden="1" customHeight="1">
      <c r="A159" s="51"/>
      <c r="B159" s="59"/>
      <c r="C159" s="59"/>
      <c r="D159" s="59"/>
      <c r="E159" s="59"/>
      <c r="F159" s="59"/>
      <c r="G159" s="59"/>
      <c r="Y159" s="329"/>
    </row>
    <row r="160" spans="1:25" ht="16" hidden="1" customHeight="1">
      <c r="A160" s="51"/>
      <c r="B160" s="59"/>
      <c r="C160" s="59"/>
      <c r="D160" s="59"/>
      <c r="E160" s="59"/>
      <c r="F160" s="59"/>
      <c r="G160" s="59"/>
      <c r="Y160" s="329"/>
    </row>
    <row r="161" spans="1:25" ht="16" hidden="1" customHeight="1">
      <c r="A161" s="51"/>
      <c r="B161" s="59"/>
      <c r="C161" s="59"/>
      <c r="D161" s="59"/>
      <c r="E161" s="59"/>
      <c r="F161" s="59"/>
      <c r="G161" s="59"/>
      <c r="Y161" s="329"/>
    </row>
    <row r="162" spans="1:25" ht="16" hidden="1" customHeight="1">
      <c r="A162" s="51"/>
      <c r="B162" s="59"/>
      <c r="C162" s="59"/>
      <c r="D162" s="59"/>
      <c r="E162" s="59"/>
      <c r="F162" s="59"/>
      <c r="G162" s="59"/>
      <c r="Y162" s="329"/>
    </row>
    <row r="163" spans="1:25" ht="16" hidden="1" customHeight="1">
      <c r="A163" s="51"/>
      <c r="B163" s="59"/>
      <c r="C163" s="59"/>
      <c r="D163" s="59"/>
      <c r="E163" s="59"/>
      <c r="F163" s="59"/>
      <c r="G163" s="59"/>
      <c r="Y163" s="329"/>
    </row>
    <row r="164" spans="1:25" ht="16" hidden="1" customHeight="1">
      <c r="A164" s="51"/>
      <c r="B164" s="59"/>
      <c r="C164" s="59"/>
      <c r="D164" s="59"/>
      <c r="E164" s="59"/>
      <c r="F164" s="59"/>
      <c r="G164" s="59"/>
      <c r="Y164" s="329"/>
    </row>
    <row r="165" spans="1:25" ht="16" hidden="1" customHeight="1">
      <c r="A165" s="51"/>
      <c r="B165" s="59"/>
      <c r="C165" s="59"/>
      <c r="D165" s="59"/>
      <c r="E165" s="59"/>
      <c r="F165" s="59"/>
      <c r="G165" s="59"/>
      <c r="Y165" s="329"/>
    </row>
    <row r="166" spans="1:25" ht="16" hidden="1" customHeight="1">
      <c r="A166" s="51"/>
      <c r="B166" s="59"/>
      <c r="C166" s="59"/>
      <c r="D166" s="59"/>
      <c r="E166" s="59"/>
      <c r="F166" s="59"/>
      <c r="G166" s="59"/>
      <c r="Y166" s="329"/>
    </row>
    <row r="167" spans="1:25" ht="16" hidden="1" customHeight="1">
      <c r="A167" s="51"/>
      <c r="B167" s="59"/>
      <c r="C167" s="59"/>
      <c r="D167" s="59"/>
      <c r="E167" s="59"/>
      <c r="F167" s="59"/>
      <c r="G167" s="59"/>
      <c r="Y167" s="329"/>
    </row>
    <row r="168" spans="1:25" ht="16" hidden="1" customHeight="1">
      <c r="A168" s="51"/>
      <c r="B168" s="59"/>
      <c r="C168" s="59"/>
      <c r="D168" s="59"/>
      <c r="E168" s="59"/>
      <c r="F168" s="59"/>
      <c r="G168" s="59"/>
      <c r="Y168" s="329"/>
    </row>
    <row r="169" spans="1:25" ht="16" hidden="1" customHeight="1">
      <c r="A169" s="51"/>
      <c r="B169" s="59"/>
      <c r="C169" s="59"/>
      <c r="D169" s="59"/>
      <c r="E169" s="59"/>
      <c r="F169" s="59"/>
      <c r="G169" s="59"/>
      <c r="Y169" s="329"/>
    </row>
    <row r="170" spans="1:25" ht="16" hidden="1" customHeight="1">
      <c r="A170" s="51"/>
      <c r="B170" s="59"/>
      <c r="C170" s="59"/>
      <c r="D170" s="59"/>
      <c r="E170" s="59"/>
      <c r="F170" s="59"/>
      <c r="G170" s="59"/>
      <c r="Y170" s="329"/>
    </row>
    <row r="171" spans="1:25" ht="16" hidden="1" customHeight="1">
      <c r="A171" s="51"/>
      <c r="B171" s="59"/>
      <c r="C171" s="59"/>
      <c r="D171" s="59"/>
      <c r="E171" s="59"/>
      <c r="F171" s="59"/>
      <c r="G171" s="59"/>
      <c r="Y171" s="329"/>
    </row>
    <row r="172" spans="1:25" ht="16" hidden="1" customHeight="1">
      <c r="A172" s="51"/>
      <c r="B172" s="59"/>
      <c r="C172" s="59"/>
      <c r="D172" s="59"/>
      <c r="E172" s="59"/>
      <c r="F172" s="59"/>
      <c r="G172" s="59"/>
      <c r="Y172" s="329"/>
    </row>
    <row r="173" spans="1:25" ht="16" hidden="1" customHeight="1">
      <c r="A173" s="51"/>
      <c r="B173" s="59"/>
      <c r="C173" s="59"/>
      <c r="D173" s="59"/>
      <c r="E173" s="59"/>
      <c r="F173" s="59"/>
      <c r="G173" s="59"/>
      <c r="Y173" s="329"/>
    </row>
    <row r="174" spans="1:25" ht="16" hidden="1" customHeight="1">
      <c r="A174" s="51"/>
      <c r="B174" s="59"/>
      <c r="C174" s="59"/>
      <c r="D174" s="59"/>
      <c r="E174" s="59"/>
      <c r="F174" s="59"/>
      <c r="G174" s="59"/>
      <c r="Y174" s="329"/>
    </row>
    <row r="175" spans="1:25" ht="16" hidden="1" customHeight="1">
      <c r="A175" s="51"/>
      <c r="B175" s="59"/>
      <c r="C175" s="59"/>
      <c r="D175" s="59"/>
      <c r="E175" s="59"/>
      <c r="F175" s="59"/>
      <c r="G175" s="59"/>
      <c r="Y175" s="329"/>
    </row>
    <row r="176" spans="1:25" ht="16" hidden="1" customHeight="1">
      <c r="A176" s="51"/>
      <c r="B176" s="59"/>
      <c r="C176" s="59"/>
      <c r="D176" s="59"/>
      <c r="E176" s="59"/>
      <c r="F176" s="59"/>
      <c r="G176" s="59"/>
      <c r="Y176" s="329"/>
    </row>
    <row r="177" spans="1:25" ht="16" hidden="1" customHeight="1">
      <c r="A177" s="51"/>
      <c r="B177" s="59"/>
      <c r="C177" s="59"/>
      <c r="D177" s="59"/>
      <c r="E177" s="59"/>
      <c r="F177" s="59"/>
      <c r="G177" s="59"/>
      <c r="Y177" s="329"/>
    </row>
    <row r="178" spans="1:25" ht="16" hidden="1" customHeight="1">
      <c r="A178" s="51"/>
      <c r="B178" s="59"/>
      <c r="C178" s="59"/>
      <c r="D178" s="59"/>
      <c r="E178" s="59"/>
      <c r="F178" s="59"/>
      <c r="G178" s="59"/>
      <c r="Y178" s="329"/>
    </row>
    <row r="179" spans="1:25" ht="16" hidden="1" customHeight="1">
      <c r="A179" s="51"/>
      <c r="B179" s="59"/>
      <c r="C179" s="59"/>
      <c r="D179" s="59"/>
      <c r="E179" s="59"/>
      <c r="F179" s="59"/>
      <c r="G179" s="59"/>
      <c r="Y179" s="329"/>
    </row>
    <row r="180" spans="1:25" ht="16" hidden="1" customHeight="1">
      <c r="A180" s="51"/>
      <c r="B180" s="59"/>
      <c r="C180" s="59"/>
      <c r="D180" s="59"/>
      <c r="E180" s="59"/>
      <c r="F180" s="59"/>
      <c r="G180" s="59"/>
      <c r="Y180" s="329"/>
    </row>
    <row r="181" spans="1:25" ht="16" hidden="1" customHeight="1">
      <c r="A181" s="51"/>
      <c r="B181" s="59"/>
      <c r="C181" s="59"/>
      <c r="D181" s="59"/>
      <c r="E181" s="59"/>
      <c r="F181" s="59"/>
      <c r="G181" s="59"/>
      <c r="Y181" s="329"/>
    </row>
    <row r="182" spans="1:25" ht="16" hidden="1" customHeight="1">
      <c r="A182" s="51"/>
      <c r="B182" s="59"/>
      <c r="C182" s="59"/>
      <c r="D182" s="59"/>
      <c r="E182" s="59"/>
      <c r="F182" s="59"/>
      <c r="G182" s="59"/>
      <c r="Y182" s="329"/>
    </row>
    <row r="183" spans="1:25" ht="16" hidden="1" customHeight="1">
      <c r="A183" s="51"/>
      <c r="B183" s="59"/>
      <c r="C183" s="59"/>
      <c r="D183" s="59"/>
      <c r="E183" s="59"/>
      <c r="F183" s="59"/>
      <c r="G183" s="59"/>
      <c r="Y183" s="329"/>
    </row>
    <row r="184" spans="1:25" ht="16" hidden="1" customHeight="1">
      <c r="A184" s="51"/>
      <c r="B184" s="59"/>
      <c r="C184" s="59"/>
      <c r="D184" s="59"/>
      <c r="E184" s="59"/>
      <c r="F184" s="59"/>
      <c r="G184" s="59"/>
      <c r="Y184" s="329"/>
    </row>
    <row r="185" spans="1:25" ht="16" hidden="1" customHeight="1">
      <c r="A185" s="51"/>
      <c r="B185" s="59"/>
      <c r="C185" s="59"/>
      <c r="D185" s="59"/>
      <c r="E185" s="59"/>
      <c r="F185" s="59"/>
      <c r="G185" s="59"/>
      <c r="Y185" s="329"/>
    </row>
    <row r="186" spans="1:25" ht="16" hidden="1" customHeight="1">
      <c r="A186" s="51"/>
      <c r="B186" s="59"/>
      <c r="C186" s="59"/>
      <c r="D186" s="59"/>
      <c r="E186" s="59"/>
      <c r="F186" s="59"/>
      <c r="G186" s="59"/>
      <c r="Y186" s="329"/>
    </row>
    <row r="187" spans="1:25" ht="16" hidden="1" customHeight="1">
      <c r="A187" s="51"/>
      <c r="B187" s="59"/>
      <c r="C187" s="59"/>
      <c r="D187" s="59"/>
      <c r="E187" s="59"/>
      <c r="F187" s="59"/>
      <c r="G187" s="59"/>
      <c r="Y187" s="329"/>
    </row>
    <row r="188" spans="1:25" ht="16" hidden="1" customHeight="1">
      <c r="A188" s="51"/>
      <c r="B188" s="59"/>
      <c r="C188" s="59"/>
      <c r="D188" s="59"/>
      <c r="E188" s="59"/>
      <c r="F188" s="59"/>
      <c r="G188" s="59"/>
      <c r="Y188" s="329"/>
    </row>
    <row r="189" spans="1:25" ht="16" hidden="1" customHeight="1">
      <c r="A189" s="51"/>
      <c r="B189" s="59"/>
      <c r="C189" s="59"/>
      <c r="D189" s="59"/>
      <c r="E189" s="59"/>
      <c r="F189" s="59"/>
      <c r="G189" s="59"/>
      <c r="Y189" s="329"/>
    </row>
    <row r="190" spans="1:25" ht="16" hidden="1" customHeight="1">
      <c r="A190" s="51"/>
      <c r="B190" s="59"/>
      <c r="C190" s="59"/>
      <c r="D190" s="59"/>
      <c r="E190" s="59"/>
      <c r="F190" s="59"/>
      <c r="G190" s="59"/>
      <c r="Y190" s="329"/>
    </row>
    <row r="191" spans="1:25" ht="16" hidden="1" customHeight="1">
      <c r="A191" s="51"/>
      <c r="B191" s="59"/>
      <c r="C191" s="59"/>
      <c r="D191" s="59"/>
      <c r="E191" s="59"/>
      <c r="F191" s="59"/>
      <c r="G191" s="59"/>
      <c r="Y191" s="329"/>
    </row>
    <row r="192" spans="1:25" ht="16" hidden="1" customHeight="1">
      <c r="A192" s="51"/>
      <c r="B192" s="59"/>
      <c r="C192" s="59"/>
      <c r="D192" s="59"/>
      <c r="E192" s="59"/>
      <c r="F192" s="59"/>
      <c r="G192" s="59"/>
      <c r="Y192" s="329"/>
    </row>
    <row r="193" spans="1:25" ht="16" hidden="1" customHeight="1">
      <c r="A193" s="51"/>
      <c r="B193" s="59"/>
      <c r="C193" s="59"/>
      <c r="D193" s="59"/>
      <c r="E193" s="59"/>
      <c r="F193" s="59"/>
      <c r="G193" s="59"/>
      <c r="Y193" s="329"/>
    </row>
    <row r="194" spans="1:25" ht="16" hidden="1" customHeight="1">
      <c r="A194" s="51"/>
      <c r="B194" s="59"/>
      <c r="C194" s="59"/>
      <c r="D194" s="59"/>
      <c r="E194" s="59"/>
      <c r="F194" s="59"/>
      <c r="G194" s="59"/>
      <c r="Y194" s="329"/>
    </row>
    <row r="195" spans="1:25" ht="16" hidden="1" customHeight="1">
      <c r="A195" s="51"/>
      <c r="B195" s="59"/>
      <c r="C195" s="59"/>
      <c r="D195" s="59"/>
      <c r="E195" s="59"/>
      <c r="F195" s="59"/>
      <c r="G195" s="59"/>
      <c r="Y195" s="329"/>
    </row>
    <row r="196" spans="1:25" ht="16" hidden="1" customHeight="1">
      <c r="A196" s="51"/>
      <c r="B196" s="59"/>
      <c r="C196" s="59"/>
      <c r="D196" s="59"/>
      <c r="E196" s="59"/>
      <c r="F196" s="59"/>
      <c r="G196" s="59"/>
      <c r="Y196" s="329"/>
    </row>
    <row r="197" spans="1:25" ht="16" hidden="1" customHeight="1">
      <c r="A197" s="51"/>
      <c r="B197" s="59"/>
      <c r="C197" s="59"/>
      <c r="D197" s="59"/>
      <c r="E197" s="59"/>
      <c r="F197" s="59"/>
      <c r="G197" s="59"/>
      <c r="Y197" s="329"/>
    </row>
    <row r="198" spans="1:25" ht="16" hidden="1" customHeight="1">
      <c r="A198" s="51"/>
      <c r="B198" s="59"/>
      <c r="C198" s="59"/>
      <c r="D198" s="59"/>
      <c r="E198" s="59"/>
      <c r="F198" s="59"/>
      <c r="G198" s="59"/>
      <c r="Y198" s="329"/>
    </row>
    <row r="199" spans="1:25" ht="16" hidden="1" customHeight="1">
      <c r="A199" s="51"/>
      <c r="B199" s="59"/>
      <c r="C199" s="59"/>
      <c r="D199" s="59"/>
      <c r="E199" s="59"/>
      <c r="F199" s="59"/>
      <c r="G199" s="59"/>
      <c r="Y199" s="329"/>
    </row>
    <row r="200" spans="1:25" ht="16" hidden="1" customHeight="1">
      <c r="A200" s="51"/>
      <c r="B200" s="59"/>
      <c r="C200" s="59"/>
      <c r="D200" s="59"/>
      <c r="E200" s="59"/>
      <c r="F200" s="59"/>
      <c r="G200" s="59"/>
      <c r="Y200" s="329"/>
    </row>
    <row r="201" spans="1:25" ht="16" hidden="1" customHeight="1">
      <c r="A201" s="51"/>
      <c r="B201" s="59"/>
      <c r="C201" s="59"/>
      <c r="D201" s="59"/>
      <c r="E201" s="59"/>
      <c r="F201" s="59"/>
      <c r="G201" s="59"/>
      <c r="Y201" s="329"/>
    </row>
    <row r="202" spans="1:25" ht="16" hidden="1" customHeight="1">
      <c r="A202" s="51"/>
      <c r="B202" s="59"/>
      <c r="C202" s="59"/>
      <c r="D202" s="59"/>
      <c r="E202" s="59"/>
      <c r="F202" s="59"/>
      <c r="G202" s="59"/>
      <c r="Y202" s="329"/>
    </row>
    <row r="203" spans="1:25" ht="16" hidden="1" customHeight="1">
      <c r="A203" s="51"/>
      <c r="B203" s="59"/>
      <c r="C203" s="59"/>
      <c r="D203" s="59"/>
      <c r="E203" s="59"/>
      <c r="F203" s="59"/>
      <c r="G203" s="59"/>
      <c r="Y203" s="329"/>
    </row>
    <row r="204" spans="1:25" ht="16" hidden="1" customHeight="1">
      <c r="A204" s="51"/>
      <c r="B204" s="59"/>
      <c r="C204" s="59"/>
      <c r="D204" s="59"/>
      <c r="E204" s="59"/>
      <c r="F204" s="59"/>
      <c r="G204" s="59"/>
      <c r="Y204" s="329"/>
    </row>
    <row r="205" spans="1:25" ht="16" hidden="1" customHeight="1">
      <c r="A205" s="51"/>
      <c r="B205" s="59"/>
      <c r="C205" s="59"/>
      <c r="D205" s="59"/>
      <c r="E205" s="59"/>
      <c r="F205" s="59"/>
      <c r="G205" s="59"/>
      <c r="Y205" s="329"/>
    </row>
    <row r="206" spans="1:25" ht="16" hidden="1" customHeight="1">
      <c r="A206" s="51"/>
      <c r="B206" s="59"/>
      <c r="C206" s="59"/>
      <c r="D206" s="59"/>
      <c r="E206" s="59"/>
      <c r="F206" s="59"/>
      <c r="G206" s="59"/>
      <c r="Y206" s="329"/>
    </row>
    <row r="207" spans="1:25" ht="16" hidden="1" customHeight="1">
      <c r="A207" s="51"/>
      <c r="B207" s="59"/>
      <c r="C207" s="59"/>
      <c r="D207" s="59"/>
      <c r="E207" s="59"/>
      <c r="F207" s="59"/>
      <c r="G207" s="59"/>
      <c r="Y207" s="329"/>
    </row>
    <row r="208" spans="1:25" ht="16" hidden="1" customHeight="1">
      <c r="A208" s="51"/>
      <c r="B208" s="59"/>
      <c r="C208" s="59"/>
      <c r="D208" s="59"/>
      <c r="E208" s="59"/>
      <c r="F208" s="59"/>
      <c r="G208" s="59"/>
      <c r="Y208" s="329"/>
    </row>
    <row r="209" spans="1:25" ht="16" hidden="1" customHeight="1">
      <c r="A209" s="51"/>
      <c r="B209" s="59"/>
      <c r="C209" s="59"/>
      <c r="D209" s="59"/>
      <c r="E209" s="59"/>
      <c r="F209" s="59"/>
      <c r="G209" s="59"/>
      <c r="Y209" s="329"/>
    </row>
    <row r="210" spans="1:25" ht="16" hidden="1" customHeight="1">
      <c r="A210" s="51"/>
      <c r="B210" s="59"/>
      <c r="C210" s="59"/>
      <c r="D210" s="59"/>
      <c r="E210" s="59"/>
      <c r="F210" s="59"/>
      <c r="G210" s="59"/>
      <c r="Y210" s="329"/>
    </row>
    <row r="211" spans="1:25" ht="16" hidden="1" customHeight="1">
      <c r="A211" s="51"/>
      <c r="B211" s="59"/>
      <c r="C211" s="59"/>
      <c r="D211" s="59"/>
      <c r="E211" s="59"/>
      <c r="F211" s="59"/>
      <c r="G211" s="59"/>
      <c r="Y211" s="329"/>
    </row>
    <row r="212" spans="1:25" ht="16" hidden="1" customHeight="1">
      <c r="A212" s="51"/>
      <c r="B212" s="59"/>
      <c r="C212" s="59"/>
      <c r="D212" s="59"/>
      <c r="E212" s="59"/>
      <c r="F212" s="59"/>
      <c r="G212" s="59"/>
      <c r="Y212" s="329"/>
    </row>
    <row r="213" spans="1:25" ht="16" hidden="1" customHeight="1">
      <c r="A213" s="51"/>
      <c r="B213" s="59"/>
      <c r="C213" s="59"/>
      <c r="D213" s="59"/>
      <c r="E213" s="59"/>
      <c r="F213" s="59"/>
      <c r="G213" s="59"/>
      <c r="Y213" s="329"/>
    </row>
    <row r="214" spans="1:25" ht="16" hidden="1" customHeight="1">
      <c r="A214" s="51"/>
      <c r="B214" s="59"/>
      <c r="C214" s="59"/>
      <c r="D214" s="59"/>
      <c r="E214" s="59"/>
      <c r="F214" s="59"/>
      <c r="G214" s="59"/>
      <c r="Y214" s="329"/>
    </row>
    <row r="215" spans="1:25" ht="16" hidden="1" customHeight="1">
      <c r="A215" s="51"/>
      <c r="B215" s="59"/>
      <c r="C215" s="59"/>
      <c r="D215" s="59"/>
      <c r="E215" s="59"/>
      <c r="F215" s="59"/>
      <c r="G215" s="59"/>
      <c r="Y215" s="329"/>
    </row>
    <row r="216" spans="1:25" ht="16" hidden="1" customHeight="1">
      <c r="A216" s="51"/>
      <c r="B216" s="59"/>
      <c r="C216" s="59"/>
      <c r="D216" s="59"/>
      <c r="E216" s="59"/>
      <c r="F216" s="59"/>
      <c r="G216" s="59"/>
      <c r="Y216" s="329"/>
    </row>
    <row r="217" spans="1:25" ht="16" hidden="1" customHeight="1">
      <c r="A217" s="51"/>
      <c r="B217" s="59"/>
      <c r="C217" s="59"/>
      <c r="D217" s="59"/>
      <c r="E217" s="59"/>
      <c r="F217" s="59"/>
      <c r="G217" s="59"/>
      <c r="Y217" s="329"/>
    </row>
    <row r="218" spans="1:25" ht="16" hidden="1" customHeight="1">
      <c r="A218" s="51"/>
      <c r="B218" s="59"/>
      <c r="C218" s="59"/>
      <c r="D218" s="59"/>
      <c r="E218" s="59"/>
      <c r="F218" s="59"/>
      <c r="G218" s="59"/>
      <c r="Y218" s="329"/>
    </row>
    <row r="219" spans="1:25" ht="16" hidden="1" customHeight="1">
      <c r="A219" s="51"/>
      <c r="B219" s="59"/>
      <c r="C219" s="59"/>
      <c r="D219" s="59"/>
      <c r="E219" s="59"/>
      <c r="F219" s="59"/>
      <c r="G219" s="59"/>
      <c r="Y219" s="329"/>
    </row>
    <row r="220" spans="1:25" ht="16" hidden="1" customHeight="1">
      <c r="A220" s="51"/>
      <c r="B220" s="59"/>
      <c r="C220" s="59"/>
      <c r="D220" s="59"/>
      <c r="E220" s="59"/>
      <c r="F220" s="59"/>
      <c r="G220" s="59"/>
      <c r="Y220" s="329"/>
    </row>
    <row r="221" spans="1:25" ht="16" hidden="1" customHeight="1">
      <c r="A221" s="51"/>
      <c r="B221" s="59"/>
      <c r="C221" s="59"/>
      <c r="D221" s="59"/>
      <c r="E221" s="59"/>
      <c r="F221" s="59"/>
      <c r="G221" s="59"/>
      <c r="Y221" s="329"/>
    </row>
    <row r="222" spans="1:25" ht="16" hidden="1" customHeight="1">
      <c r="A222" s="51"/>
      <c r="B222" s="59"/>
      <c r="C222" s="59"/>
      <c r="D222" s="59"/>
      <c r="E222" s="59"/>
      <c r="F222" s="59"/>
      <c r="G222" s="59"/>
      <c r="Y222" s="329"/>
    </row>
    <row r="223" spans="1:25" ht="16" hidden="1" customHeight="1">
      <c r="A223" s="51"/>
      <c r="B223" s="59"/>
      <c r="C223" s="59"/>
      <c r="D223" s="59"/>
      <c r="E223" s="59"/>
      <c r="F223" s="59"/>
      <c r="G223" s="59"/>
      <c r="Y223" s="329"/>
    </row>
    <row r="224" spans="1:25" ht="16" hidden="1" customHeight="1">
      <c r="A224" s="51"/>
      <c r="B224" s="59"/>
      <c r="C224" s="59"/>
      <c r="D224" s="59"/>
      <c r="E224" s="59"/>
      <c r="F224" s="59"/>
      <c r="G224" s="59"/>
      <c r="Y224" s="329"/>
    </row>
    <row r="225" spans="1:25" ht="16" hidden="1" customHeight="1">
      <c r="A225" s="51"/>
      <c r="B225" s="59"/>
      <c r="C225" s="59"/>
      <c r="D225" s="59"/>
      <c r="E225" s="59"/>
      <c r="F225" s="59"/>
      <c r="G225" s="59"/>
      <c r="Y225" s="329"/>
    </row>
    <row r="226" spans="1:25" ht="16" hidden="1" customHeight="1">
      <c r="A226" s="51"/>
      <c r="B226" s="59"/>
      <c r="C226" s="59"/>
      <c r="D226" s="59"/>
      <c r="E226" s="59"/>
      <c r="F226" s="59"/>
      <c r="G226" s="59"/>
      <c r="Y226" s="329"/>
    </row>
    <row r="227" spans="1:25" ht="16" hidden="1" customHeight="1">
      <c r="A227" s="51"/>
      <c r="B227" s="59"/>
      <c r="C227" s="59"/>
      <c r="D227" s="59"/>
      <c r="E227" s="59"/>
      <c r="F227" s="59"/>
      <c r="G227" s="59"/>
      <c r="Y227" s="329"/>
    </row>
    <row r="228" spans="1:25" ht="16" hidden="1" customHeight="1">
      <c r="A228" s="51"/>
      <c r="B228" s="59"/>
      <c r="C228" s="59"/>
      <c r="D228" s="59"/>
      <c r="E228" s="59"/>
      <c r="F228" s="59"/>
      <c r="G228" s="59"/>
      <c r="Y228" s="329"/>
    </row>
    <row r="229" spans="1:25" ht="16" hidden="1" customHeight="1">
      <c r="A229" s="51"/>
      <c r="B229" s="59"/>
      <c r="C229" s="59"/>
      <c r="D229" s="59"/>
      <c r="E229" s="59"/>
      <c r="F229" s="59"/>
      <c r="G229" s="59"/>
      <c r="Y229" s="329"/>
    </row>
    <row r="230" spans="1:25" ht="16" hidden="1" customHeight="1">
      <c r="A230" s="51"/>
      <c r="B230" s="59"/>
      <c r="C230" s="59"/>
      <c r="D230" s="59"/>
      <c r="E230" s="59"/>
      <c r="F230" s="59"/>
      <c r="G230" s="59"/>
      <c r="Y230" s="329"/>
    </row>
    <row r="231" spans="1:25" ht="16" hidden="1" customHeight="1">
      <c r="A231" s="51"/>
      <c r="B231" s="59"/>
      <c r="C231" s="59"/>
      <c r="D231" s="59"/>
      <c r="E231" s="59"/>
      <c r="F231" s="59"/>
      <c r="G231" s="59"/>
      <c r="Y231" s="329"/>
    </row>
    <row r="232" spans="1:25" ht="16" hidden="1" customHeight="1">
      <c r="A232" s="51"/>
      <c r="B232" s="59"/>
      <c r="C232" s="59"/>
      <c r="D232" s="59"/>
      <c r="E232" s="59"/>
      <c r="F232" s="59"/>
      <c r="G232" s="59"/>
      <c r="Y232" s="329"/>
    </row>
    <row r="233" spans="1:25" ht="16" hidden="1" customHeight="1">
      <c r="A233" s="51"/>
      <c r="B233" s="59"/>
      <c r="C233" s="59"/>
      <c r="D233" s="59"/>
      <c r="E233" s="59"/>
      <c r="F233" s="59"/>
      <c r="G233" s="59"/>
      <c r="Y233" s="329"/>
    </row>
    <row r="234" spans="1:25" ht="16" hidden="1" customHeight="1">
      <c r="A234" s="51"/>
      <c r="B234" s="59"/>
      <c r="C234" s="59"/>
      <c r="D234" s="59"/>
      <c r="E234" s="59"/>
      <c r="F234" s="59"/>
      <c r="G234" s="59"/>
      <c r="Y234" s="329"/>
    </row>
    <row r="235" spans="1:25" ht="16" hidden="1" customHeight="1">
      <c r="A235" s="51"/>
      <c r="B235" s="59"/>
      <c r="C235" s="59"/>
      <c r="D235" s="59"/>
      <c r="E235" s="59"/>
      <c r="F235" s="59"/>
      <c r="G235" s="59"/>
      <c r="Y235" s="329"/>
    </row>
    <row r="236" spans="1:25" ht="16" hidden="1" customHeight="1">
      <c r="A236" s="51"/>
      <c r="B236" s="59"/>
      <c r="C236" s="59"/>
      <c r="D236" s="59"/>
      <c r="E236" s="59"/>
      <c r="F236" s="59"/>
      <c r="G236" s="59"/>
      <c r="Y236" s="329"/>
    </row>
    <row r="237" spans="1:25" ht="16" hidden="1" customHeight="1">
      <c r="A237" s="51"/>
      <c r="B237" s="59"/>
      <c r="C237" s="59"/>
      <c r="D237" s="59"/>
      <c r="E237" s="59"/>
      <c r="F237" s="59"/>
      <c r="G237" s="59"/>
      <c r="Y237" s="329"/>
    </row>
    <row r="238" spans="1:25" ht="16" hidden="1" customHeight="1">
      <c r="A238" s="51"/>
      <c r="B238" s="59"/>
      <c r="C238" s="59"/>
      <c r="D238" s="59"/>
      <c r="E238" s="59"/>
      <c r="F238" s="59"/>
      <c r="G238" s="59"/>
      <c r="Y238" s="329"/>
    </row>
    <row r="239" spans="1:25" ht="16" hidden="1" customHeight="1">
      <c r="A239" s="51"/>
      <c r="B239" s="59"/>
      <c r="C239" s="59"/>
      <c r="D239" s="59"/>
      <c r="E239" s="59"/>
      <c r="F239" s="59"/>
      <c r="G239" s="59"/>
      <c r="Y239" s="329"/>
    </row>
    <row r="240" spans="1:25" ht="16" hidden="1" customHeight="1">
      <c r="A240" s="51"/>
      <c r="B240" s="59"/>
      <c r="C240" s="59"/>
      <c r="D240" s="59"/>
      <c r="E240" s="59"/>
      <c r="F240" s="59"/>
      <c r="G240" s="59"/>
      <c r="Y240" s="329"/>
    </row>
    <row r="241" spans="1:25" ht="16" hidden="1" customHeight="1">
      <c r="A241" s="51"/>
      <c r="B241" s="59"/>
      <c r="C241" s="59"/>
      <c r="D241" s="59"/>
      <c r="E241" s="59"/>
      <c r="F241" s="59"/>
      <c r="G241" s="59"/>
      <c r="Y241" s="329"/>
    </row>
    <row r="242" spans="1:25" ht="16" hidden="1" customHeight="1">
      <c r="A242" s="51"/>
      <c r="B242" s="59"/>
      <c r="C242" s="59"/>
      <c r="D242" s="59"/>
      <c r="E242" s="59"/>
      <c r="F242" s="59"/>
      <c r="G242" s="59"/>
      <c r="Y242" s="329"/>
    </row>
    <row r="243" spans="1:25" ht="16" hidden="1" customHeight="1">
      <c r="A243" s="51"/>
      <c r="B243" s="59"/>
      <c r="C243" s="59"/>
      <c r="D243" s="59"/>
      <c r="E243" s="59"/>
      <c r="F243" s="59"/>
      <c r="G243" s="59"/>
      <c r="Y243" s="329"/>
    </row>
    <row r="244" spans="1:25" ht="16" hidden="1" customHeight="1">
      <c r="A244" s="51"/>
      <c r="B244" s="59"/>
      <c r="C244" s="59"/>
      <c r="D244" s="59"/>
      <c r="E244" s="59"/>
      <c r="F244" s="59"/>
      <c r="G244" s="59"/>
      <c r="Y244" s="329"/>
    </row>
    <row r="245" spans="1:25" ht="16" hidden="1" customHeight="1">
      <c r="A245" s="51"/>
      <c r="B245" s="59"/>
      <c r="C245" s="59"/>
      <c r="D245" s="59"/>
      <c r="E245" s="59"/>
      <c r="F245" s="59"/>
      <c r="G245" s="59"/>
      <c r="Y245" s="329"/>
    </row>
    <row r="246" spans="1:25" ht="16" hidden="1" customHeight="1">
      <c r="A246" s="51"/>
      <c r="B246" s="59"/>
      <c r="C246" s="59"/>
      <c r="D246" s="59"/>
      <c r="E246" s="59"/>
      <c r="F246" s="59"/>
      <c r="G246" s="59"/>
      <c r="Y246" s="329"/>
    </row>
    <row r="247" spans="1:25" ht="16" hidden="1" customHeight="1">
      <c r="A247" s="51"/>
      <c r="B247" s="59"/>
      <c r="C247" s="59"/>
      <c r="D247" s="59"/>
      <c r="E247" s="59"/>
      <c r="F247" s="59"/>
      <c r="G247" s="59"/>
      <c r="Y247" s="329"/>
    </row>
    <row r="248" spans="1:25" ht="16" hidden="1" customHeight="1">
      <c r="A248" s="51"/>
      <c r="B248" s="59"/>
      <c r="C248" s="59"/>
      <c r="D248" s="59"/>
      <c r="E248" s="59"/>
      <c r="F248" s="59"/>
      <c r="G248" s="59"/>
      <c r="Y248" s="329"/>
    </row>
    <row r="249" spans="1:25" ht="16" hidden="1" customHeight="1">
      <c r="A249" s="51"/>
      <c r="B249" s="59"/>
      <c r="C249" s="59"/>
      <c r="D249" s="59"/>
      <c r="E249" s="59"/>
      <c r="F249" s="59"/>
      <c r="G249" s="59"/>
      <c r="Y249" s="329"/>
    </row>
    <row r="250" spans="1:25" ht="16" hidden="1" customHeight="1">
      <c r="A250" s="51"/>
      <c r="B250" s="59"/>
      <c r="C250" s="59"/>
      <c r="D250" s="59"/>
      <c r="E250" s="59"/>
      <c r="F250" s="59"/>
      <c r="G250" s="59"/>
      <c r="Y250" s="329"/>
    </row>
    <row r="251" spans="1:25" ht="16" hidden="1" customHeight="1">
      <c r="A251" s="51"/>
      <c r="B251" s="59"/>
      <c r="C251" s="59"/>
      <c r="D251" s="59"/>
      <c r="E251" s="59"/>
      <c r="F251" s="59"/>
      <c r="G251" s="59"/>
      <c r="Y251" s="329"/>
    </row>
    <row r="252" spans="1:25" ht="16" hidden="1" customHeight="1">
      <c r="A252" s="51"/>
      <c r="B252" s="59"/>
      <c r="C252" s="59"/>
      <c r="D252" s="59"/>
      <c r="E252" s="59"/>
      <c r="F252" s="59"/>
      <c r="G252" s="59"/>
      <c r="Y252" s="329"/>
    </row>
    <row r="253" spans="1:25" ht="16" hidden="1" customHeight="1">
      <c r="A253" s="51"/>
      <c r="B253" s="59"/>
      <c r="C253" s="59"/>
      <c r="D253" s="59"/>
      <c r="E253" s="59"/>
      <c r="F253" s="59"/>
      <c r="G253" s="59"/>
      <c r="Y253" s="329"/>
    </row>
    <row r="254" spans="1:25" ht="16" hidden="1" customHeight="1">
      <c r="A254" s="51"/>
      <c r="B254" s="59"/>
      <c r="C254" s="59"/>
      <c r="D254" s="59"/>
      <c r="E254" s="59"/>
      <c r="F254" s="59"/>
      <c r="G254" s="59"/>
      <c r="Y254" s="329"/>
    </row>
    <row r="255" spans="1:25" ht="16" hidden="1" customHeight="1">
      <c r="A255" s="51"/>
      <c r="B255" s="59"/>
      <c r="C255" s="59"/>
      <c r="D255" s="59"/>
      <c r="E255" s="59"/>
      <c r="F255" s="59"/>
      <c r="G255" s="59"/>
      <c r="Y255" s="329"/>
    </row>
    <row r="256" spans="1:25" ht="16" hidden="1" customHeight="1">
      <c r="A256" s="51"/>
      <c r="B256" s="59"/>
      <c r="C256" s="59"/>
      <c r="D256" s="59"/>
      <c r="E256" s="59"/>
      <c r="F256" s="59"/>
      <c r="G256" s="59"/>
      <c r="Y256" s="329"/>
    </row>
    <row r="257" spans="1:25" ht="16" hidden="1" customHeight="1">
      <c r="A257" s="51"/>
      <c r="B257" s="59"/>
      <c r="C257" s="59"/>
      <c r="D257" s="59"/>
      <c r="E257" s="59"/>
      <c r="F257" s="59"/>
      <c r="G257" s="59"/>
      <c r="Y257" s="329"/>
    </row>
    <row r="258" spans="1:25" ht="16" hidden="1" customHeight="1">
      <c r="A258" s="51"/>
      <c r="B258" s="59"/>
      <c r="C258" s="59"/>
      <c r="D258" s="59"/>
      <c r="E258" s="59"/>
      <c r="F258" s="59"/>
      <c r="G258" s="59"/>
      <c r="Y258" s="329"/>
    </row>
    <row r="259" spans="1:25" ht="16" hidden="1" customHeight="1">
      <c r="A259" s="51"/>
      <c r="B259" s="59"/>
      <c r="C259" s="59"/>
      <c r="D259" s="59"/>
      <c r="E259" s="59"/>
      <c r="F259" s="59"/>
      <c r="G259" s="59"/>
      <c r="Y259" s="329"/>
    </row>
    <row r="260" spans="1:25" ht="16" hidden="1" customHeight="1">
      <c r="A260" s="51"/>
      <c r="B260" s="59"/>
      <c r="C260" s="59"/>
      <c r="D260" s="59"/>
      <c r="E260" s="59"/>
      <c r="F260" s="59"/>
      <c r="G260" s="59"/>
      <c r="Y260" s="329"/>
    </row>
    <row r="261" spans="1:25" ht="16" hidden="1" customHeight="1">
      <c r="A261" s="51"/>
      <c r="B261" s="59"/>
      <c r="C261" s="59"/>
      <c r="D261" s="59"/>
      <c r="E261" s="59"/>
      <c r="F261" s="59"/>
      <c r="G261" s="59"/>
      <c r="Y261" s="329"/>
    </row>
    <row r="262" spans="1:25" ht="16" hidden="1" customHeight="1">
      <c r="A262" s="51"/>
      <c r="B262" s="59"/>
      <c r="C262" s="59"/>
      <c r="D262" s="59"/>
      <c r="E262" s="59"/>
      <c r="F262" s="59"/>
      <c r="G262" s="59"/>
      <c r="Y262" s="329"/>
    </row>
    <row r="263" spans="1:25" ht="16" hidden="1" customHeight="1">
      <c r="A263" s="51"/>
      <c r="B263" s="59"/>
      <c r="C263" s="59"/>
      <c r="D263" s="59"/>
      <c r="E263" s="59"/>
      <c r="F263" s="59"/>
      <c r="G263" s="59"/>
      <c r="Y263" s="329"/>
    </row>
    <row r="264" spans="1:25" ht="16" hidden="1" customHeight="1">
      <c r="A264" s="51"/>
      <c r="B264" s="59"/>
      <c r="C264" s="59"/>
      <c r="D264" s="59"/>
      <c r="E264" s="59"/>
      <c r="F264" s="59"/>
      <c r="G264" s="59"/>
      <c r="Y264" s="329"/>
    </row>
    <row r="265" spans="1:25" ht="16" hidden="1" customHeight="1">
      <c r="A265" s="51"/>
      <c r="B265" s="59"/>
      <c r="C265" s="59"/>
      <c r="D265" s="59"/>
      <c r="E265" s="59"/>
      <c r="F265" s="59"/>
      <c r="G265" s="59"/>
      <c r="Y265" s="329"/>
    </row>
    <row r="266" spans="1:25" ht="16" hidden="1" customHeight="1">
      <c r="A266" s="51"/>
      <c r="B266" s="59"/>
      <c r="C266" s="59"/>
      <c r="D266" s="59"/>
      <c r="E266" s="59"/>
      <c r="F266" s="59"/>
      <c r="G266" s="59"/>
      <c r="Y266" s="329"/>
    </row>
    <row r="267" spans="1:25" ht="16" hidden="1" customHeight="1">
      <c r="A267" s="51"/>
      <c r="B267" s="59"/>
      <c r="C267" s="59"/>
      <c r="D267" s="59"/>
      <c r="E267" s="59"/>
      <c r="F267" s="59"/>
      <c r="G267" s="59"/>
      <c r="Y267" s="329"/>
    </row>
    <row r="268" spans="1:25" ht="16" hidden="1" customHeight="1">
      <c r="A268" s="51"/>
      <c r="B268" s="59"/>
      <c r="C268" s="59"/>
      <c r="D268" s="59"/>
      <c r="E268" s="59"/>
      <c r="F268" s="59"/>
      <c r="G268" s="59"/>
      <c r="Y268" s="329"/>
    </row>
    <row r="269" spans="1:25" ht="16" hidden="1" customHeight="1">
      <c r="A269" s="51"/>
      <c r="B269" s="59"/>
      <c r="C269" s="59"/>
      <c r="D269" s="59"/>
      <c r="E269" s="59"/>
      <c r="F269" s="59"/>
      <c r="G269" s="59"/>
      <c r="Y269" s="329"/>
    </row>
    <row r="270" spans="1:25" ht="16" hidden="1" customHeight="1">
      <c r="A270" s="51"/>
      <c r="B270" s="59"/>
      <c r="C270" s="59"/>
      <c r="D270" s="59"/>
      <c r="E270" s="59"/>
      <c r="F270" s="59"/>
      <c r="G270" s="59"/>
      <c r="Y270" s="329"/>
    </row>
    <row r="271" spans="1:25" ht="16" hidden="1" customHeight="1">
      <c r="A271" s="51"/>
      <c r="B271" s="59"/>
      <c r="C271" s="59"/>
      <c r="D271" s="59"/>
      <c r="E271" s="59"/>
      <c r="F271" s="59"/>
      <c r="G271" s="59"/>
      <c r="Y271" s="329"/>
    </row>
    <row r="272" spans="1:25" ht="16" hidden="1" customHeight="1">
      <c r="A272" s="51"/>
      <c r="B272" s="59"/>
      <c r="C272" s="59"/>
      <c r="D272" s="59"/>
      <c r="E272" s="59"/>
      <c r="F272" s="59"/>
      <c r="G272" s="59"/>
      <c r="Y272" s="329"/>
    </row>
    <row r="273" spans="1:25" ht="16" hidden="1" customHeight="1">
      <c r="A273" s="51"/>
      <c r="B273" s="59"/>
      <c r="C273" s="59"/>
      <c r="D273" s="59"/>
      <c r="E273" s="59"/>
      <c r="F273" s="59"/>
      <c r="G273" s="59"/>
      <c r="Y273" s="329"/>
    </row>
    <row r="274" spans="1:25" ht="16" hidden="1" customHeight="1">
      <c r="A274" s="51"/>
      <c r="B274" s="59"/>
      <c r="C274" s="59"/>
      <c r="D274" s="59"/>
      <c r="E274" s="59"/>
      <c r="F274" s="59"/>
      <c r="G274" s="59"/>
      <c r="Y274" s="329"/>
    </row>
    <row r="275" spans="1:25" ht="16" hidden="1" customHeight="1">
      <c r="A275" s="51"/>
      <c r="B275" s="59"/>
      <c r="C275" s="59"/>
      <c r="D275" s="59"/>
      <c r="E275" s="59"/>
      <c r="F275" s="59"/>
      <c r="G275" s="59"/>
      <c r="Y275" s="329"/>
    </row>
    <row r="276" spans="1:25" ht="16" hidden="1" customHeight="1">
      <c r="A276" s="51"/>
      <c r="B276" s="59"/>
      <c r="C276" s="59"/>
      <c r="D276" s="59"/>
      <c r="E276" s="59"/>
      <c r="F276" s="59"/>
      <c r="G276" s="59"/>
      <c r="Y276" s="329"/>
    </row>
    <row r="277" spans="1:25" ht="16" hidden="1" customHeight="1">
      <c r="A277" s="51"/>
      <c r="B277" s="59"/>
      <c r="C277" s="59"/>
      <c r="D277" s="59"/>
      <c r="E277" s="59"/>
      <c r="F277" s="59"/>
      <c r="G277" s="59"/>
      <c r="Y277" s="329"/>
    </row>
    <row r="278" spans="1:25" ht="16" hidden="1" customHeight="1">
      <c r="A278" s="51"/>
      <c r="B278" s="59"/>
      <c r="C278" s="59"/>
      <c r="D278" s="59"/>
      <c r="E278" s="59"/>
      <c r="F278" s="59"/>
      <c r="G278" s="59"/>
      <c r="Y278" s="329"/>
    </row>
    <row r="279" spans="1:25" ht="16" hidden="1" customHeight="1">
      <c r="A279" s="51"/>
      <c r="B279" s="59"/>
      <c r="C279" s="59"/>
      <c r="D279" s="59"/>
      <c r="E279" s="59"/>
      <c r="F279" s="59"/>
      <c r="G279" s="59"/>
      <c r="Y279" s="329"/>
    </row>
    <row r="280" spans="1:25" ht="16" hidden="1" customHeight="1">
      <c r="A280" s="51"/>
      <c r="B280" s="59"/>
      <c r="C280" s="59"/>
      <c r="D280" s="59"/>
      <c r="E280" s="59"/>
      <c r="F280" s="59"/>
      <c r="G280" s="59"/>
      <c r="Y280" s="329"/>
    </row>
    <row r="281" spans="1:25" ht="16" hidden="1" customHeight="1">
      <c r="A281" s="51"/>
      <c r="B281" s="59"/>
      <c r="C281" s="59"/>
      <c r="D281" s="59"/>
      <c r="E281" s="59"/>
      <c r="F281" s="59"/>
      <c r="G281" s="59"/>
      <c r="Y281" s="329"/>
    </row>
    <row r="282" spans="1:25" ht="16" hidden="1" customHeight="1">
      <c r="A282" s="51"/>
      <c r="B282" s="59"/>
      <c r="C282" s="59"/>
      <c r="D282" s="59"/>
      <c r="E282" s="59"/>
      <c r="F282" s="59"/>
      <c r="G282" s="59"/>
      <c r="Y282" s="329"/>
    </row>
    <row r="283" spans="1:25" ht="16" hidden="1" customHeight="1">
      <c r="A283" s="51"/>
      <c r="B283" s="59"/>
      <c r="C283" s="59"/>
      <c r="D283" s="59"/>
      <c r="E283" s="59"/>
      <c r="F283" s="59"/>
      <c r="G283" s="59"/>
      <c r="Y283" s="329"/>
    </row>
    <row r="284" spans="1:25" ht="16" hidden="1" customHeight="1">
      <c r="A284" s="51"/>
      <c r="B284" s="59"/>
      <c r="C284" s="59"/>
      <c r="D284" s="59"/>
      <c r="E284" s="59"/>
      <c r="F284" s="59"/>
      <c r="G284" s="59"/>
      <c r="Y284" s="329"/>
    </row>
    <row r="285" spans="1:25" ht="16" hidden="1" customHeight="1">
      <c r="A285" s="51"/>
      <c r="B285" s="59"/>
      <c r="C285" s="59"/>
      <c r="D285" s="59"/>
      <c r="E285" s="59"/>
      <c r="F285" s="59"/>
      <c r="G285" s="59"/>
      <c r="Y285" s="329"/>
    </row>
    <row r="286" spans="1:25" ht="16" hidden="1" customHeight="1">
      <c r="A286" s="51"/>
      <c r="B286" s="59"/>
      <c r="C286" s="59"/>
      <c r="D286" s="59"/>
      <c r="E286" s="59"/>
      <c r="F286" s="59"/>
      <c r="G286" s="59"/>
      <c r="Y286" s="329"/>
    </row>
    <row r="287" spans="1:25" ht="16" hidden="1" customHeight="1">
      <c r="A287" s="51"/>
      <c r="B287" s="59"/>
      <c r="C287" s="59"/>
      <c r="D287" s="59"/>
      <c r="E287" s="59"/>
      <c r="F287" s="59"/>
      <c r="G287" s="59"/>
      <c r="Y287" s="329"/>
    </row>
    <row r="288" spans="1:25" ht="16" hidden="1" customHeight="1">
      <c r="A288" s="51"/>
      <c r="B288" s="59"/>
      <c r="C288" s="59"/>
      <c r="D288" s="59"/>
      <c r="E288" s="59"/>
      <c r="F288" s="59"/>
      <c r="G288" s="59"/>
      <c r="Y288" s="329"/>
    </row>
    <row r="289" spans="1:25" ht="16" hidden="1" customHeight="1">
      <c r="A289" s="51"/>
      <c r="B289" s="59"/>
      <c r="C289" s="59"/>
      <c r="D289" s="59"/>
      <c r="E289" s="59"/>
      <c r="F289" s="59"/>
      <c r="G289" s="59"/>
      <c r="Y289" s="329"/>
    </row>
    <row r="290" spans="1:25" ht="16" hidden="1" customHeight="1">
      <c r="A290" s="51"/>
      <c r="B290" s="59"/>
      <c r="C290" s="59"/>
      <c r="D290" s="59"/>
      <c r="E290" s="59"/>
      <c r="F290" s="59"/>
      <c r="G290" s="59"/>
      <c r="Y290" s="329"/>
    </row>
    <row r="291" spans="1:25" ht="16" hidden="1" customHeight="1">
      <c r="A291" s="51"/>
      <c r="B291" s="59"/>
      <c r="C291" s="59"/>
      <c r="D291" s="59"/>
      <c r="E291" s="59"/>
      <c r="F291" s="59"/>
      <c r="G291" s="59"/>
      <c r="Y291" s="329"/>
    </row>
    <row r="292" spans="1:25" ht="16" hidden="1" customHeight="1">
      <c r="A292" s="51"/>
      <c r="B292" s="59"/>
      <c r="C292" s="59"/>
      <c r="D292" s="59"/>
      <c r="E292" s="59"/>
      <c r="F292" s="59"/>
      <c r="G292" s="59"/>
      <c r="Y292" s="329"/>
    </row>
    <row r="293" spans="1:25" ht="16" hidden="1" customHeight="1">
      <c r="A293" s="51"/>
      <c r="B293" s="59"/>
      <c r="C293" s="59"/>
      <c r="D293" s="59"/>
      <c r="E293" s="59"/>
      <c r="F293" s="59"/>
      <c r="G293" s="59"/>
      <c r="Y293" s="329"/>
    </row>
    <row r="294" spans="1:25" ht="16" hidden="1" customHeight="1">
      <c r="A294" s="51"/>
      <c r="B294" s="59"/>
      <c r="C294" s="59"/>
      <c r="D294" s="59"/>
      <c r="E294" s="59"/>
      <c r="F294" s="59"/>
      <c r="G294" s="59"/>
      <c r="Y294" s="329"/>
    </row>
    <row r="295" spans="1:25" ht="16" hidden="1" customHeight="1">
      <c r="A295" s="51"/>
      <c r="B295" s="59"/>
      <c r="C295" s="59"/>
      <c r="D295" s="59"/>
      <c r="E295" s="59"/>
      <c r="F295" s="59"/>
      <c r="G295" s="59"/>
      <c r="Y295" s="329"/>
    </row>
    <row r="296" spans="1:25" ht="16" hidden="1" customHeight="1">
      <c r="A296" s="51"/>
      <c r="B296" s="59"/>
      <c r="C296" s="59"/>
      <c r="D296" s="59"/>
      <c r="E296" s="59"/>
      <c r="F296" s="59"/>
      <c r="G296" s="59"/>
      <c r="Y296" s="329"/>
    </row>
    <row r="297" spans="1:25" ht="16" hidden="1" customHeight="1">
      <c r="A297" s="51"/>
      <c r="B297" s="59"/>
      <c r="C297" s="59"/>
      <c r="D297" s="59"/>
      <c r="E297" s="59"/>
      <c r="F297" s="59"/>
      <c r="G297" s="59"/>
      <c r="Y297" s="329"/>
    </row>
    <row r="298" spans="1:25" ht="16" hidden="1" customHeight="1">
      <c r="A298" s="51"/>
      <c r="B298" s="59"/>
      <c r="C298" s="59"/>
      <c r="D298" s="59"/>
      <c r="E298" s="59"/>
      <c r="F298" s="59"/>
      <c r="G298" s="59"/>
      <c r="Y298" s="329"/>
    </row>
    <row r="299" spans="1:25" ht="16" hidden="1" customHeight="1">
      <c r="A299" s="51"/>
      <c r="B299" s="59"/>
      <c r="C299" s="59"/>
      <c r="D299" s="59"/>
      <c r="E299" s="59"/>
      <c r="F299" s="59"/>
      <c r="G299" s="59"/>
      <c r="Y299" s="329"/>
    </row>
    <row r="300" spans="1:25" ht="16" hidden="1" customHeight="1">
      <c r="A300" s="51"/>
      <c r="B300" s="59"/>
      <c r="C300" s="59"/>
      <c r="D300" s="59"/>
      <c r="E300" s="59"/>
      <c r="F300" s="59"/>
      <c r="G300" s="59"/>
      <c r="Y300" s="329"/>
    </row>
    <row r="301" spans="1:25" ht="16" hidden="1" customHeight="1">
      <c r="A301" s="51"/>
      <c r="B301" s="59"/>
      <c r="C301" s="59"/>
      <c r="D301" s="59"/>
      <c r="E301" s="59"/>
      <c r="F301" s="59"/>
      <c r="G301" s="59"/>
      <c r="Y301" s="329"/>
    </row>
    <row r="302" spans="1:25" ht="16" hidden="1" customHeight="1">
      <c r="A302" s="51"/>
      <c r="B302" s="59"/>
      <c r="C302" s="59"/>
      <c r="D302" s="59"/>
      <c r="E302" s="59"/>
      <c r="F302" s="59"/>
      <c r="G302" s="59"/>
      <c r="Y302" s="329"/>
    </row>
    <row r="303" spans="1:25" ht="16" hidden="1" customHeight="1">
      <c r="A303" s="51"/>
      <c r="B303" s="59"/>
      <c r="C303" s="59"/>
      <c r="D303" s="59"/>
      <c r="E303" s="59"/>
      <c r="F303" s="59"/>
      <c r="G303" s="59"/>
      <c r="Y303" s="329"/>
    </row>
    <row r="304" spans="1:25" ht="16" hidden="1" customHeight="1">
      <c r="A304" s="51"/>
      <c r="B304" s="59"/>
      <c r="C304" s="59"/>
      <c r="D304" s="59"/>
      <c r="E304" s="59"/>
      <c r="F304" s="59"/>
      <c r="G304" s="59"/>
      <c r="Y304" s="329"/>
    </row>
    <row r="305" spans="1:25" ht="16" hidden="1" customHeight="1">
      <c r="A305" s="51"/>
      <c r="B305" s="59"/>
      <c r="C305" s="59"/>
      <c r="D305" s="59"/>
      <c r="E305" s="59"/>
      <c r="F305" s="59"/>
      <c r="G305" s="59"/>
      <c r="Y305" s="329"/>
    </row>
    <row r="306" spans="1:25" ht="16" hidden="1" customHeight="1">
      <c r="A306" s="51"/>
      <c r="B306" s="59"/>
      <c r="C306" s="59"/>
      <c r="D306" s="59"/>
      <c r="E306" s="59"/>
      <c r="F306" s="59"/>
      <c r="G306" s="59"/>
      <c r="Y306" s="329"/>
    </row>
    <row r="307" spans="1:25" ht="16" hidden="1" customHeight="1">
      <c r="A307" s="51"/>
      <c r="B307" s="59"/>
      <c r="C307" s="59"/>
      <c r="D307" s="59"/>
      <c r="E307" s="59"/>
      <c r="F307" s="59"/>
      <c r="G307" s="59"/>
      <c r="Y307" s="329"/>
    </row>
    <row r="308" spans="1:25" ht="16" hidden="1" customHeight="1">
      <c r="A308" s="51"/>
      <c r="B308" s="59"/>
      <c r="C308" s="59"/>
      <c r="D308" s="59"/>
      <c r="E308" s="59"/>
      <c r="F308" s="59"/>
      <c r="G308" s="59"/>
      <c r="Y308" s="329"/>
    </row>
    <row r="309" spans="1:25" ht="16" hidden="1" customHeight="1">
      <c r="A309" s="51"/>
      <c r="B309" s="59"/>
      <c r="C309" s="59"/>
      <c r="D309" s="59"/>
      <c r="E309" s="59"/>
      <c r="F309" s="59"/>
      <c r="G309" s="59"/>
      <c r="Y309" s="329"/>
    </row>
    <row r="310" spans="1:25" ht="16" hidden="1" customHeight="1">
      <c r="A310" s="51"/>
      <c r="B310" s="59"/>
      <c r="C310" s="59"/>
      <c r="D310" s="59"/>
      <c r="E310" s="59"/>
      <c r="F310" s="59"/>
      <c r="G310" s="59"/>
      <c r="Y310" s="329"/>
    </row>
    <row r="311" spans="1:25" ht="16" hidden="1" customHeight="1">
      <c r="A311" s="51"/>
      <c r="B311" s="59"/>
      <c r="C311" s="59"/>
      <c r="D311" s="59"/>
      <c r="E311" s="59"/>
      <c r="F311" s="59"/>
      <c r="G311" s="59"/>
      <c r="Y311" s="329"/>
    </row>
    <row r="312" spans="1:25" ht="16" hidden="1" customHeight="1">
      <c r="A312" s="51"/>
      <c r="B312" s="59"/>
      <c r="C312" s="59"/>
      <c r="D312" s="59"/>
      <c r="E312" s="59"/>
      <c r="F312" s="59"/>
      <c r="G312" s="59"/>
      <c r="Y312" s="329"/>
    </row>
    <row r="313" spans="1:25" ht="16" hidden="1" customHeight="1">
      <c r="A313" s="51"/>
      <c r="B313" s="59"/>
      <c r="C313" s="59"/>
      <c r="D313" s="59"/>
      <c r="E313" s="59"/>
      <c r="F313" s="59"/>
      <c r="G313" s="59"/>
      <c r="Y313" s="329"/>
    </row>
    <row r="314" spans="1:25" ht="16" hidden="1" customHeight="1">
      <c r="A314" s="51"/>
      <c r="B314" s="59"/>
      <c r="C314" s="59"/>
      <c r="D314" s="59"/>
      <c r="E314" s="59"/>
      <c r="F314" s="59"/>
      <c r="G314" s="59"/>
      <c r="Y314" s="329"/>
    </row>
    <row r="315" spans="1:25" ht="16" hidden="1" customHeight="1">
      <c r="A315" s="51"/>
      <c r="B315" s="59"/>
      <c r="C315" s="59"/>
      <c r="D315" s="59"/>
      <c r="E315" s="59"/>
      <c r="F315" s="59"/>
      <c r="G315" s="59"/>
      <c r="Y315" s="329"/>
    </row>
    <row r="316" spans="1:25" ht="16" hidden="1" customHeight="1">
      <c r="A316" s="51"/>
      <c r="B316" s="59"/>
      <c r="C316" s="59"/>
      <c r="D316" s="59"/>
      <c r="E316" s="59"/>
      <c r="F316" s="59"/>
      <c r="G316" s="59"/>
      <c r="Y316" s="329"/>
    </row>
    <row r="317" spans="1:25" ht="16" hidden="1" customHeight="1">
      <c r="A317" s="51"/>
      <c r="B317" s="59"/>
      <c r="C317" s="59"/>
      <c r="D317" s="59"/>
      <c r="E317" s="59"/>
      <c r="F317" s="59"/>
      <c r="G317" s="59"/>
      <c r="Y317" s="329"/>
    </row>
    <row r="318" spans="1:25" ht="16" hidden="1" customHeight="1">
      <c r="A318" s="51"/>
      <c r="B318" s="59"/>
      <c r="C318" s="59"/>
      <c r="D318" s="59"/>
      <c r="E318" s="59"/>
      <c r="F318" s="59"/>
      <c r="G318" s="59"/>
      <c r="Y318" s="329"/>
    </row>
    <row r="319" spans="1:25" ht="16" hidden="1" customHeight="1">
      <c r="A319" s="51"/>
      <c r="B319" s="59"/>
      <c r="C319" s="59"/>
      <c r="D319" s="59"/>
      <c r="E319" s="59"/>
      <c r="F319" s="59"/>
      <c r="G319" s="59"/>
      <c r="Y319" s="329"/>
    </row>
    <row r="320" spans="1:25" ht="16" hidden="1" customHeight="1">
      <c r="A320" s="51"/>
      <c r="B320" s="59"/>
      <c r="C320" s="59"/>
      <c r="D320" s="59"/>
      <c r="E320" s="59"/>
      <c r="F320" s="59"/>
      <c r="G320" s="59"/>
      <c r="Y320" s="329"/>
    </row>
    <row r="321" spans="1:25" ht="16" hidden="1" customHeight="1">
      <c r="A321" s="51"/>
      <c r="B321" s="59"/>
      <c r="C321" s="59"/>
      <c r="D321" s="59"/>
      <c r="E321" s="59"/>
      <c r="F321" s="59"/>
      <c r="G321" s="59"/>
      <c r="Y321" s="329"/>
    </row>
    <row r="322" spans="1:25" ht="16" hidden="1" customHeight="1">
      <c r="A322" s="51"/>
      <c r="B322" s="59"/>
      <c r="C322" s="59"/>
      <c r="D322" s="59"/>
      <c r="E322" s="59"/>
      <c r="F322" s="59"/>
      <c r="G322" s="59"/>
      <c r="Y322" s="329"/>
    </row>
    <row r="323" spans="1:25" ht="16" hidden="1" customHeight="1">
      <c r="A323" s="51"/>
      <c r="B323" s="59"/>
      <c r="C323" s="59"/>
      <c r="D323" s="59"/>
      <c r="E323" s="59"/>
      <c r="F323" s="59"/>
      <c r="G323" s="59"/>
      <c r="Y323" s="329"/>
    </row>
    <row r="324" spans="1:25" ht="16" hidden="1" customHeight="1">
      <c r="A324" s="51"/>
      <c r="B324" s="59"/>
      <c r="C324" s="59"/>
      <c r="D324" s="59"/>
      <c r="E324" s="59"/>
      <c r="F324" s="59"/>
      <c r="G324" s="59"/>
      <c r="Y324" s="329"/>
    </row>
    <row r="325" spans="1:25" ht="16" hidden="1" customHeight="1">
      <c r="A325" s="51"/>
      <c r="B325" s="59"/>
      <c r="C325" s="59"/>
      <c r="D325" s="59"/>
      <c r="E325" s="59"/>
      <c r="F325" s="59"/>
      <c r="G325" s="59"/>
      <c r="Y325" s="329"/>
    </row>
    <row r="326" spans="1:25" ht="16" hidden="1" customHeight="1">
      <c r="A326" s="51"/>
      <c r="B326" s="59"/>
      <c r="C326" s="59"/>
      <c r="D326" s="59"/>
      <c r="E326" s="59"/>
      <c r="F326" s="59"/>
      <c r="G326" s="59"/>
      <c r="Y326" s="329"/>
    </row>
    <row r="327" spans="1:25" ht="16" hidden="1" customHeight="1">
      <c r="A327" s="51"/>
      <c r="B327" s="59"/>
      <c r="C327" s="59"/>
      <c r="D327" s="59"/>
      <c r="E327" s="59"/>
      <c r="F327" s="59"/>
      <c r="G327" s="59"/>
      <c r="Y327" s="329"/>
    </row>
    <row r="328" spans="1:25" ht="16" hidden="1" customHeight="1">
      <c r="A328" s="51"/>
      <c r="B328" s="59"/>
      <c r="C328" s="59"/>
      <c r="D328" s="59"/>
      <c r="E328" s="59"/>
      <c r="F328" s="59"/>
      <c r="G328" s="59"/>
      <c r="Y328" s="329"/>
    </row>
    <row r="329" spans="1:25" ht="16" hidden="1" customHeight="1">
      <c r="A329" s="51"/>
      <c r="B329" s="59"/>
      <c r="C329" s="59"/>
      <c r="D329" s="59"/>
      <c r="E329" s="59"/>
      <c r="F329" s="59"/>
      <c r="G329" s="59"/>
      <c r="Y329" s="329"/>
    </row>
    <row r="330" spans="1:25" ht="16" hidden="1" customHeight="1">
      <c r="A330" s="51"/>
      <c r="B330" s="59"/>
      <c r="C330" s="59"/>
      <c r="D330" s="59"/>
      <c r="E330" s="59"/>
      <c r="F330" s="59"/>
      <c r="G330" s="59"/>
      <c r="Y330" s="329"/>
    </row>
    <row r="331" spans="1:25" ht="16" hidden="1" customHeight="1">
      <c r="A331" s="51"/>
      <c r="B331" s="59"/>
      <c r="C331" s="59"/>
      <c r="D331" s="59"/>
      <c r="E331" s="59"/>
      <c r="F331" s="59"/>
      <c r="G331" s="59"/>
      <c r="Y331" s="329"/>
    </row>
    <row r="332" spans="1:25" ht="16" hidden="1" customHeight="1">
      <c r="A332" s="51"/>
      <c r="B332" s="59"/>
      <c r="C332" s="59"/>
      <c r="D332" s="59"/>
      <c r="E332" s="59"/>
      <c r="F332" s="59"/>
      <c r="G332" s="59"/>
      <c r="Y332" s="329"/>
    </row>
    <row r="333" spans="1:25" ht="16" hidden="1" customHeight="1">
      <c r="A333" s="51"/>
      <c r="B333" s="59"/>
      <c r="C333" s="59"/>
      <c r="D333" s="59"/>
      <c r="E333" s="59"/>
      <c r="F333" s="59"/>
      <c r="G333" s="59"/>
      <c r="Y333" s="329"/>
    </row>
    <row r="334" spans="1:25" ht="16" hidden="1" customHeight="1">
      <c r="A334" s="51"/>
      <c r="B334" s="59"/>
      <c r="C334" s="59"/>
      <c r="D334" s="59"/>
      <c r="E334" s="59"/>
      <c r="F334" s="59"/>
      <c r="G334" s="59"/>
      <c r="Y334" s="329"/>
    </row>
    <row r="335" spans="1:25" ht="16" hidden="1" customHeight="1">
      <c r="A335" s="51"/>
      <c r="B335" s="59"/>
      <c r="C335" s="59"/>
      <c r="D335" s="59"/>
      <c r="E335" s="59"/>
      <c r="F335" s="59"/>
      <c r="G335" s="59"/>
      <c r="Y335" s="329"/>
    </row>
    <row r="336" spans="1:25" ht="16" hidden="1" customHeight="1">
      <c r="A336" s="51"/>
      <c r="B336" s="59"/>
      <c r="C336" s="59"/>
      <c r="D336" s="59"/>
      <c r="E336" s="59"/>
      <c r="F336" s="59"/>
      <c r="G336" s="59"/>
      <c r="Y336" s="329"/>
    </row>
    <row r="337" spans="1:25" ht="16" hidden="1" customHeight="1">
      <c r="A337" s="51"/>
      <c r="B337" s="59"/>
      <c r="C337" s="59"/>
      <c r="D337" s="59"/>
      <c r="E337" s="59"/>
      <c r="F337" s="59"/>
      <c r="G337" s="59"/>
      <c r="Y337" s="329"/>
    </row>
    <row r="338" spans="1:25" ht="16" hidden="1" customHeight="1">
      <c r="A338" s="51"/>
      <c r="B338" s="59"/>
      <c r="C338" s="59"/>
      <c r="D338" s="59"/>
      <c r="E338" s="59"/>
      <c r="F338" s="59"/>
      <c r="G338" s="59"/>
      <c r="Y338" s="329"/>
    </row>
    <row r="339" spans="1:25" ht="16" hidden="1" customHeight="1">
      <c r="A339" s="51"/>
      <c r="B339" s="59"/>
      <c r="C339" s="59"/>
      <c r="D339" s="59"/>
      <c r="E339" s="59"/>
      <c r="F339" s="59"/>
      <c r="G339" s="59"/>
      <c r="Y339" s="329"/>
    </row>
    <row r="340" spans="1:25" ht="16" hidden="1" customHeight="1">
      <c r="A340" s="51"/>
      <c r="B340" s="59"/>
      <c r="C340" s="59"/>
      <c r="D340" s="59"/>
      <c r="E340" s="59"/>
      <c r="F340" s="59"/>
      <c r="G340" s="59"/>
      <c r="Y340" s="329"/>
    </row>
    <row r="341" spans="1:25" ht="16" hidden="1" customHeight="1">
      <c r="A341" s="51"/>
      <c r="B341" s="59"/>
      <c r="C341" s="59"/>
      <c r="D341" s="59"/>
      <c r="E341" s="59"/>
      <c r="F341" s="59"/>
      <c r="G341" s="59"/>
      <c r="Y341" s="329"/>
    </row>
    <row r="342" spans="1:25" ht="16" hidden="1" customHeight="1">
      <c r="A342" s="51"/>
      <c r="B342" s="59"/>
      <c r="C342" s="59"/>
      <c r="D342" s="59"/>
      <c r="E342" s="59"/>
      <c r="F342" s="59"/>
      <c r="G342" s="59"/>
      <c r="Y342" s="329"/>
    </row>
    <row r="343" spans="1:25" ht="16" hidden="1" customHeight="1">
      <c r="A343" s="51"/>
      <c r="B343" s="59"/>
      <c r="C343" s="59"/>
      <c r="D343" s="59"/>
      <c r="E343" s="59"/>
      <c r="F343" s="59"/>
      <c r="G343" s="59"/>
      <c r="Y343" s="329"/>
    </row>
    <row r="344" spans="1:25" ht="16" hidden="1" customHeight="1">
      <c r="A344" s="51"/>
      <c r="B344" s="59"/>
      <c r="C344" s="59"/>
      <c r="D344" s="59"/>
      <c r="E344" s="59"/>
      <c r="F344" s="59"/>
      <c r="G344" s="59"/>
      <c r="Y344" s="329"/>
    </row>
    <row r="345" spans="1:25" ht="16" hidden="1" customHeight="1">
      <c r="A345" s="51"/>
      <c r="B345" s="59"/>
      <c r="C345" s="59"/>
      <c r="D345" s="59"/>
      <c r="E345" s="59"/>
      <c r="F345" s="59"/>
      <c r="G345" s="59"/>
      <c r="Y345" s="329"/>
    </row>
    <row r="346" spans="1:25" ht="16" hidden="1" customHeight="1">
      <c r="A346" s="51"/>
      <c r="B346" s="59"/>
      <c r="C346" s="59"/>
      <c r="D346" s="59"/>
      <c r="E346" s="59"/>
      <c r="F346" s="59"/>
      <c r="G346" s="59"/>
      <c r="Y346" s="329"/>
    </row>
    <row r="347" spans="1:25" ht="16" hidden="1" customHeight="1">
      <c r="A347" s="51"/>
      <c r="B347" s="59"/>
      <c r="C347" s="59"/>
      <c r="D347" s="59"/>
      <c r="E347" s="59"/>
      <c r="F347" s="59"/>
      <c r="G347" s="59"/>
      <c r="Y347" s="329"/>
    </row>
    <row r="348" spans="1:25" ht="16" hidden="1" customHeight="1">
      <c r="A348" s="51"/>
      <c r="B348" s="59"/>
      <c r="C348" s="59"/>
      <c r="D348" s="59"/>
      <c r="E348" s="59"/>
      <c r="F348" s="59"/>
      <c r="G348" s="59"/>
      <c r="Y348" s="329"/>
    </row>
    <row r="349" spans="1:25" ht="16" hidden="1" customHeight="1">
      <c r="A349" s="51"/>
      <c r="B349" s="59"/>
      <c r="C349" s="59"/>
      <c r="D349" s="59"/>
      <c r="E349" s="59"/>
      <c r="F349" s="59"/>
      <c r="G349" s="59"/>
      <c r="Y349" s="329"/>
    </row>
    <row r="350" spans="1:25" ht="16" hidden="1" customHeight="1">
      <c r="A350" s="51"/>
      <c r="B350" s="59"/>
      <c r="C350" s="59"/>
      <c r="D350" s="59"/>
      <c r="E350" s="59"/>
      <c r="F350" s="59"/>
      <c r="G350" s="59"/>
      <c r="Y350" s="329"/>
    </row>
    <row r="351" spans="1:25" ht="16" hidden="1" customHeight="1">
      <c r="A351" s="51"/>
      <c r="B351" s="59"/>
      <c r="C351" s="59"/>
      <c r="D351" s="59"/>
      <c r="E351" s="59"/>
      <c r="F351" s="59"/>
      <c r="G351" s="59"/>
      <c r="Y351" s="329"/>
    </row>
    <row r="352" spans="1:25" ht="16" hidden="1" customHeight="1">
      <c r="A352" s="51"/>
      <c r="B352" s="59"/>
      <c r="C352" s="59"/>
      <c r="D352" s="59"/>
      <c r="E352" s="59"/>
      <c r="F352" s="59"/>
      <c r="G352" s="59"/>
      <c r="Y352" s="329"/>
    </row>
    <row r="353" spans="1:25" ht="16" hidden="1" customHeight="1">
      <c r="A353" s="51"/>
      <c r="B353" s="59"/>
      <c r="C353" s="59"/>
      <c r="D353" s="59"/>
      <c r="E353" s="59"/>
      <c r="F353" s="59"/>
      <c r="G353" s="59"/>
      <c r="Y353" s="329"/>
    </row>
    <row r="354" spans="1:25" ht="16" hidden="1" customHeight="1">
      <c r="A354" s="51"/>
      <c r="B354" s="59"/>
      <c r="C354" s="59"/>
      <c r="D354" s="59"/>
      <c r="E354" s="59"/>
      <c r="F354" s="59"/>
      <c r="G354" s="59"/>
      <c r="Y354" s="329"/>
    </row>
    <row r="355" spans="1:25" ht="16" hidden="1" customHeight="1">
      <c r="A355" s="51"/>
      <c r="B355" s="59"/>
      <c r="C355" s="59"/>
      <c r="D355" s="59"/>
      <c r="E355" s="59"/>
      <c r="F355" s="59"/>
      <c r="G355" s="59"/>
      <c r="Y355" s="329"/>
    </row>
    <row r="356" spans="1:25" ht="16" hidden="1" customHeight="1">
      <c r="A356" s="51"/>
      <c r="B356" s="59"/>
      <c r="C356" s="59"/>
      <c r="D356" s="59"/>
      <c r="E356" s="59"/>
      <c r="F356" s="59"/>
      <c r="G356" s="59"/>
      <c r="Y356" s="329"/>
    </row>
    <row r="357" spans="1:25" ht="16" hidden="1" customHeight="1">
      <c r="A357" s="51"/>
      <c r="B357" s="59"/>
      <c r="C357" s="59"/>
      <c r="D357" s="59"/>
      <c r="E357" s="59"/>
      <c r="F357" s="59"/>
      <c r="G357" s="59"/>
      <c r="Y357" s="329"/>
    </row>
    <row r="358" spans="1:25" ht="16" hidden="1" customHeight="1">
      <c r="A358" s="51"/>
      <c r="B358" s="59"/>
      <c r="C358" s="59"/>
      <c r="D358" s="59"/>
      <c r="E358" s="59"/>
      <c r="F358" s="59"/>
      <c r="G358" s="59"/>
      <c r="Y358" s="329"/>
    </row>
    <row r="359" spans="1:25" ht="16" hidden="1" customHeight="1">
      <c r="A359" s="51"/>
      <c r="B359" s="59"/>
      <c r="C359" s="59"/>
      <c r="D359" s="59"/>
      <c r="E359" s="59"/>
      <c r="F359" s="59"/>
      <c r="G359" s="59"/>
      <c r="Y359" s="329"/>
    </row>
    <row r="360" spans="1:25" ht="16" hidden="1" customHeight="1">
      <c r="A360" s="51"/>
      <c r="B360" s="59"/>
      <c r="C360" s="59"/>
      <c r="D360" s="59"/>
      <c r="E360" s="59"/>
      <c r="F360" s="59"/>
      <c r="G360" s="59"/>
      <c r="Y360" s="329"/>
    </row>
    <row r="361" spans="1:25" ht="16" hidden="1" customHeight="1">
      <c r="A361" s="51"/>
      <c r="B361" s="59"/>
      <c r="C361" s="59"/>
      <c r="D361" s="59"/>
      <c r="E361" s="59"/>
      <c r="F361" s="59"/>
      <c r="G361" s="59"/>
      <c r="Y361" s="329"/>
    </row>
    <row r="362" spans="1:25" ht="16" hidden="1" customHeight="1">
      <c r="A362" s="51"/>
      <c r="B362" s="59"/>
      <c r="C362" s="59"/>
      <c r="D362" s="59"/>
      <c r="E362" s="59"/>
      <c r="F362" s="59"/>
      <c r="G362" s="59"/>
      <c r="Y362" s="329"/>
    </row>
    <row r="363" spans="1:25" ht="16" hidden="1" customHeight="1">
      <c r="A363" s="51"/>
      <c r="B363" s="59"/>
      <c r="C363" s="59"/>
      <c r="D363" s="59"/>
      <c r="E363" s="59"/>
      <c r="F363" s="59"/>
      <c r="G363" s="59"/>
      <c r="Y363" s="329"/>
    </row>
    <row r="364" spans="1:25" ht="16" hidden="1" customHeight="1">
      <c r="A364" s="51"/>
      <c r="B364" s="59"/>
      <c r="C364" s="59"/>
      <c r="D364" s="59"/>
      <c r="E364" s="59"/>
      <c r="F364" s="59"/>
      <c r="G364" s="59"/>
      <c r="Y364" s="329"/>
    </row>
    <row r="365" spans="1:25" ht="16" hidden="1" customHeight="1">
      <c r="A365" s="51"/>
      <c r="B365" s="59"/>
      <c r="C365" s="59"/>
      <c r="D365" s="59"/>
      <c r="E365" s="59"/>
      <c r="F365" s="59"/>
      <c r="G365" s="59"/>
      <c r="Y365" s="329"/>
    </row>
    <row r="366" spans="1:25" ht="16" hidden="1" customHeight="1">
      <c r="A366" s="51"/>
      <c r="B366" s="59"/>
      <c r="C366" s="59"/>
      <c r="D366" s="59"/>
      <c r="E366" s="59"/>
      <c r="F366" s="59"/>
      <c r="G366" s="59"/>
      <c r="Y366" s="329"/>
    </row>
    <row r="367" spans="1:25" ht="16" hidden="1" customHeight="1">
      <c r="A367" s="51"/>
      <c r="B367" s="59"/>
      <c r="C367" s="59"/>
      <c r="D367" s="59"/>
      <c r="E367" s="59"/>
      <c r="F367" s="59"/>
      <c r="G367" s="59"/>
      <c r="Y367" s="329"/>
    </row>
    <row r="368" spans="1:25" ht="16" hidden="1" customHeight="1">
      <c r="A368" s="51"/>
      <c r="B368" s="59"/>
      <c r="C368" s="59"/>
      <c r="D368" s="59"/>
      <c r="E368" s="59"/>
      <c r="F368" s="59"/>
      <c r="G368" s="59"/>
      <c r="Y368" s="329"/>
    </row>
    <row r="369" spans="1:25" ht="16" hidden="1" customHeight="1">
      <c r="A369" s="51"/>
      <c r="B369" s="59"/>
      <c r="C369" s="59"/>
      <c r="D369" s="59"/>
      <c r="E369" s="59"/>
      <c r="F369" s="59"/>
      <c r="G369" s="59"/>
      <c r="Y369" s="329"/>
    </row>
    <row r="370" spans="1:25" ht="16" hidden="1" customHeight="1">
      <c r="A370" s="51"/>
      <c r="B370" s="59"/>
      <c r="C370" s="59"/>
      <c r="D370" s="59"/>
      <c r="E370" s="59"/>
      <c r="F370" s="59"/>
      <c r="G370" s="59"/>
      <c r="Y370" s="329"/>
    </row>
    <row r="371" spans="1:25" ht="16" hidden="1" customHeight="1">
      <c r="A371" s="51"/>
      <c r="B371" s="59"/>
      <c r="C371" s="59"/>
      <c r="D371" s="59"/>
      <c r="E371" s="59"/>
      <c r="F371" s="59"/>
      <c r="G371" s="59"/>
      <c r="Y371" s="329"/>
    </row>
    <row r="372" spans="1:25" ht="16" hidden="1" customHeight="1">
      <c r="A372" s="51"/>
      <c r="B372" s="59"/>
      <c r="C372" s="59"/>
      <c r="D372" s="59"/>
      <c r="E372" s="59"/>
      <c r="F372" s="59"/>
      <c r="G372" s="59"/>
      <c r="Y372" s="329"/>
    </row>
    <row r="373" spans="1:25" ht="16" hidden="1" customHeight="1">
      <c r="A373" s="51"/>
      <c r="B373" s="59"/>
      <c r="C373" s="59"/>
      <c r="D373" s="59"/>
      <c r="E373" s="59"/>
      <c r="F373" s="59"/>
      <c r="G373" s="59"/>
      <c r="Y373" s="329"/>
    </row>
    <row r="374" spans="1:25" ht="16" hidden="1" customHeight="1">
      <c r="A374" s="51"/>
      <c r="B374" s="59"/>
      <c r="C374" s="59"/>
      <c r="D374" s="59"/>
      <c r="E374" s="59"/>
      <c r="F374" s="59"/>
      <c r="G374" s="59"/>
      <c r="Y374" s="329"/>
    </row>
    <row r="375" spans="1:25" ht="16" hidden="1" customHeight="1">
      <c r="A375" s="51"/>
      <c r="B375" s="59"/>
      <c r="C375" s="59"/>
      <c r="D375" s="59"/>
      <c r="E375" s="59"/>
      <c r="F375" s="59"/>
      <c r="G375" s="59"/>
      <c r="Y375" s="329"/>
    </row>
    <row r="376" spans="1:25" ht="16" hidden="1" customHeight="1">
      <c r="A376" s="51"/>
      <c r="B376" s="59"/>
      <c r="C376" s="59"/>
      <c r="D376" s="59"/>
      <c r="E376" s="59"/>
      <c r="F376" s="59"/>
      <c r="G376" s="59"/>
      <c r="Y376" s="329"/>
    </row>
    <row r="377" spans="1:25" ht="16" hidden="1" customHeight="1">
      <c r="A377" s="51"/>
      <c r="B377" s="59"/>
      <c r="C377" s="59"/>
      <c r="D377" s="59"/>
      <c r="E377" s="59"/>
      <c r="F377" s="59"/>
      <c r="G377" s="59"/>
      <c r="Y377" s="329"/>
    </row>
    <row r="378" spans="1:25" ht="16" hidden="1" customHeight="1">
      <c r="A378" s="51"/>
      <c r="B378" s="59"/>
      <c r="C378" s="59"/>
      <c r="D378" s="59"/>
      <c r="E378" s="59"/>
      <c r="F378" s="59"/>
      <c r="G378" s="59"/>
      <c r="Y378" s="329"/>
    </row>
    <row r="379" spans="1:25" ht="16" hidden="1" customHeight="1">
      <c r="A379" s="51"/>
      <c r="B379" s="59"/>
      <c r="C379" s="59"/>
      <c r="D379" s="59"/>
      <c r="E379" s="59"/>
      <c r="F379" s="59"/>
      <c r="G379" s="59"/>
      <c r="Y379" s="329"/>
    </row>
    <row r="380" spans="1:25" ht="16" hidden="1" customHeight="1">
      <c r="A380" s="51"/>
      <c r="B380" s="59"/>
      <c r="C380" s="59"/>
      <c r="D380" s="59"/>
      <c r="E380" s="59"/>
      <c r="F380" s="59"/>
      <c r="G380" s="59"/>
      <c r="Y380" s="329"/>
    </row>
    <row r="381" spans="1:25" ht="16" hidden="1" customHeight="1">
      <c r="A381" s="51"/>
      <c r="B381" s="59"/>
      <c r="C381" s="59"/>
      <c r="D381" s="59"/>
      <c r="E381" s="59"/>
      <c r="F381" s="59"/>
      <c r="G381" s="59"/>
      <c r="Y381" s="329"/>
    </row>
    <row r="382" spans="1:25" ht="16" hidden="1" customHeight="1">
      <c r="A382" s="51"/>
      <c r="B382" s="59"/>
      <c r="C382" s="59"/>
      <c r="D382" s="59"/>
      <c r="E382" s="59"/>
      <c r="F382" s="59"/>
      <c r="G382" s="59"/>
      <c r="Y382" s="329"/>
    </row>
    <row r="383" spans="1:25" ht="16" hidden="1" customHeight="1">
      <c r="A383" s="51"/>
      <c r="B383" s="59"/>
      <c r="C383" s="59"/>
      <c r="D383" s="59"/>
      <c r="E383" s="59"/>
      <c r="F383" s="59"/>
      <c r="G383" s="59"/>
      <c r="Y383" s="329"/>
    </row>
    <row r="384" spans="1:25" ht="16" hidden="1" customHeight="1">
      <c r="A384" s="51"/>
      <c r="B384" s="59"/>
      <c r="C384" s="59"/>
      <c r="D384" s="59"/>
      <c r="E384" s="59"/>
      <c r="F384" s="59"/>
      <c r="G384" s="59"/>
      <c r="Y384" s="329"/>
    </row>
    <row r="385" spans="1:25" ht="16" hidden="1" customHeight="1">
      <c r="A385" s="51"/>
      <c r="B385" s="59"/>
      <c r="C385" s="59"/>
      <c r="D385" s="59"/>
      <c r="E385" s="59"/>
      <c r="F385" s="59"/>
      <c r="G385" s="59"/>
      <c r="Y385" s="329"/>
    </row>
    <row r="386" spans="1:25" ht="16" hidden="1" customHeight="1">
      <c r="A386" s="51"/>
      <c r="B386" s="59"/>
      <c r="C386" s="59"/>
      <c r="D386" s="59"/>
      <c r="E386" s="59"/>
      <c r="F386" s="59"/>
      <c r="G386" s="59"/>
      <c r="Y386" s="329"/>
    </row>
    <row r="387" spans="1:25" ht="16" hidden="1" customHeight="1">
      <c r="A387" s="51"/>
      <c r="B387" s="59"/>
      <c r="C387" s="59"/>
      <c r="D387" s="59"/>
      <c r="E387" s="59"/>
      <c r="F387" s="59"/>
      <c r="G387" s="59"/>
      <c r="Y387" s="329"/>
    </row>
    <row r="388" spans="1:25" ht="16" hidden="1" customHeight="1">
      <c r="A388" s="51"/>
      <c r="B388" s="59"/>
      <c r="C388" s="59"/>
      <c r="D388" s="59"/>
      <c r="E388" s="59"/>
      <c r="F388" s="59"/>
      <c r="G388" s="59"/>
      <c r="Y388" s="329"/>
    </row>
    <row r="389" spans="1:25" ht="16" hidden="1" customHeight="1">
      <c r="A389" s="51"/>
      <c r="B389" s="59"/>
      <c r="C389" s="59"/>
      <c r="D389" s="59"/>
      <c r="E389" s="59"/>
      <c r="F389" s="59"/>
      <c r="G389" s="59"/>
      <c r="Y389" s="329"/>
    </row>
    <row r="390" spans="1:25" ht="16" hidden="1" customHeight="1">
      <c r="A390" s="51"/>
      <c r="B390" s="59"/>
      <c r="C390" s="59"/>
      <c r="D390" s="59"/>
      <c r="E390" s="59"/>
      <c r="F390" s="59"/>
      <c r="G390" s="59"/>
      <c r="Y390" s="329"/>
    </row>
    <row r="391" spans="1:25" ht="16" hidden="1" customHeight="1">
      <c r="A391" s="51"/>
      <c r="B391" s="59"/>
      <c r="C391" s="59"/>
      <c r="D391" s="59"/>
      <c r="E391" s="59"/>
      <c r="F391" s="59"/>
      <c r="G391" s="59"/>
      <c r="Y391" s="329"/>
    </row>
    <row r="392" spans="1:25" ht="16" hidden="1" customHeight="1">
      <c r="A392" s="51"/>
      <c r="B392" s="59"/>
      <c r="C392" s="59"/>
      <c r="D392" s="59"/>
      <c r="E392" s="59"/>
      <c r="F392" s="59"/>
      <c r="G392" s="59"/>
      <c r="Y392" s="329"/>
    </row>
    <row r="393" spans="1:25" ht="16" hidden="1" customHeight="1">
      <c r="A393" s="51"/>
      <c r="B393" s="59"/>
      <c r="C393" s="59"/>
      <c r="D393" s="59"/>
      <c r="E393" s="59"/>
      <c r="F393" s="59"/>
      <c r="G393" s="59"/>
      <c r="Y393" s="329"/>
    </row>
    <row r="394" spans="1:25" ht="16" hidden="1" customHeight="1">
      <c r="A394" s="51"/>
      <c r="B394" s="59"/>
      <c r="C394" s="59"/>
      <c r="D394" s="59"/>
      <c r="E394" s="59"/>
      <c r="F394" s="59"/>
      <c r="G394" s="59"/>
      <c r="Y394" s="329"/>
    </row>
    <row r="395" spans="1:25" ht="16" hidden="1" customHeight="1">
      <c r="A395" s="51"/>
      <c r="B395" s="59"/>
      <c r="C395" s="59"/>
      <c r="D395" s="59"/>
      <c r="E395" s="59"/>
      <c r="F395" s="59"/>
      <c r="G395" s="59"/>
      <c r="Y395" s="329"/>
    </row>
    <row r="396" spans="1:25" ht="16" hidden="1" customHeight="1">
      <c r="A396" s="51"/>
      <c r="B396" s="59"/>
      <c r="C396" s="59"/>
      <c r="D396" s="59"/>
      <c r="E396" s="59"/>
      <c r="F396" s="59"/>
      <c r="G396" s="59"/>
      <c r="Y396" s="329"/>
    </row>
    <row r="397" spans="1:25" ht="16" hidden="1" customHeight="1">
      <c r="A397" s="51"/>
      <c r="B397" s="59"/>
      <c r="C397" s="59"/>
      <c r="D397" s="59"/>
      <c r="E397" s="59"/>
      <c r="F397" s="59"/>
      <c r="G397" s="59"/>
      <c r="Y397" s="329"/>
    </row>
    <row r="398" spans="1:25" ht="16" hidden="1" customHeight="1">
      <c r="A398" s="51"/>
      <c r="B398" s="59"/>
      <c r="C398" s="59"/>
      <c r="D398" s="59"/>
      <c r="E398" s="59"/>
      <c r="F398" s="59"/>
      <c r="G398" s="59"/>
      <c r="Y398" s="329"/>
    </row>
    <row r="399" spans="1:25" ht="16" hidden="1" customHeight="1">
      <c r="A399" s="51"/>
      <c r="B399" s="59"/>
      <c r="C399" s="59"/>
      <c r="D399" s="59"/>
      <c r="E399" s="59"/>
      <c r="F399" s="59"/>
      <c r="G399" s="59"/>
      <c r="Y399" s="329"/>
    </row>
    <row r="400" spans="1:25" ht="16" hidden="1" customHeight="1">
      <c r="A400" s="51"/>
      <c r="B400" s="59"/>
      <c r="C400" s="59"/>
      <c r="D400" s="59"/>
      <c r="E400" s="59"/>
      <c r="F400" s="59"/>
      <c r="G400" s="59"/>
      <c r="Y400" s="329"/>
    </row>
    <row r="401" spans="1:25" ht="16" hidden="1" customHeight="1">
      <c r="A401" s="51"/>
      <c r="B401" s="59"/>
      <c r="C401" s="59"/>
      <c r="D401" s="59"/>
      <c r="E401" s="59"/>
      <c r="F401" s="59"/>
      <c r="G401" s="59"/>
      <c r="Y401" s="329"/>
    </row>
    <row r="402" spans="1:25" ht="16" hidden="1" customHeight="1">
      <c r="A402" s="51"/>
      <c r="B402" s="59"/>
      <c r="C402" s="59"/>
      <c r="D402" s="59"/>
      <c r="E402" s="59"/>
      <c r="F402" s="59"/>
      <c r="G402" s="59"/>
      <c r="Y402" s="329"/>
    </row>
    <row r="403" spans="1:25" ht="16" hidden="1" customHeight="1">
      <c r="A403" s="51"/>
      <c r="B403" s="59"/>
      <c r="C403" s="59"/>
      <c r="D403" s="59"/>
      <c r="E403" s="59"/>
      <c r="F403" s="59"/>
      <c r="G403" s="59"/>
      <c r="Y403" s="329"/>
    </row>
    <row r="404" spans="1:25" ht="16" hidden="1" customHeight="1">
      <c r="A404" s="51"/>
      <c r="B404" s="59"/>
      <c r="C404" s="59"/>
      <c r="D404" s="59"/>
      <c r="E404" s="59"/>
      <c r="F404" s="59"/>
      <c r="G404" s="59"/>
      <c r="Y404" s="329"/>
    </row>
    <row r="405" spans="1:25" ht="16" hidden="1" customHeight="1">
      <c r="A405" s="51"/>
      <c r="B405" s="59"/>
      <c r="C405" s="59"/>
      <c r="D405" s="59"/>
      <c r="E405" s="59"/>
      <c r="F405" s="59"/>
      <c r="G405" s="59"/>
      <c r="Y405" s="329"/>
    </row>
    <row r="406" spans="1:25" ht="16" hidden="1" customHeight="1">
      <c r="A406" s="51"/>
      <c r="B406" s="59"/>
      <c r="C406" s="59"/>
      <c r="D406" s="59"/>
      <c r="E406" s="59"/>
      <c r="F406" s="59"/>
      <c r="G406" s="59"/>
      <c r="Y406" s="329"/>
    </row>
    <row r="407" spans="1:25" ht="16" hidden="1" customHeight="1">
      <c r="A407" s="51"/>
      <c r="B407" s="59"/>
      <c r="C407" s="59"/>
      <c r="D407" s="59"/>
      <c r="E407" s="59"/>
      <c r="F407" s="59"/>
      <c r="G407" s="59"/>
      <c r="Y407" s="329"/>
    </row>
    <row r="408" spans="1:25" ht="16" hidden="1" customHeight="1">
      <c r="A408" s="51"/>
      <c r="B408" s="59"/>
      <c r="C408" s="59"/>
      <c r="D408" s="59"/>
      <c r="E408" s="59"/>
      <c r="F408" s="59"/>
      <c r="G408" s="59"/>
      <c r="Y408" s="329"/>
    </row>
    <row r="409" spans="1:25" ht="16" hidden="1" customHeight="1">
      <c r="A409" s="51"/>
      <c r="B409" s="59"/>
      <c r="C409" s="59"/>
      <c r="D409" s="59"/>
      <c r="E409" s="59"/>
      <c r="F409" s="59"/>
      <c r="G409" s="59"/>
      <c r="Y409" s="329"/>
    </row>
    <row r="410" spans="1:25" ht="16" hidden="1" customHeight="1">
      <c r="A410" s="51"/>
      <c r="B410" s="59"/>
      <c r="C410" s="59"/>
      <c r="D410" s="59"/>
      <c r="E410" s="59"/>
      <c r="F410" s="59"/>
      <c r="G410" s="59"/>
      <c r="Y410" s="329"/>
    </row>
    <row r="411" spans="1:25" ht="16" hidden="1" customHeight="1">
      <c r="A411" s="51"/>
      <c r="B411" s="59"/>
      <c r="C411" s="59"/>
      <c r="D411" s="59"/>
      <c r="E411" s="59"/>
      <c r="F411" s="59"/>
      <c r="G411" s="59"/>
      <c r="Y411" s="329"/>
    </row>
    <row r="412" spans="1:25" ht="16" hidden="1" customHeight="1">
      <c r="A412" s="51"/>
      <c r="B412" s="59"/>
      <c r="C412" s="59"/>
      <c r="D412" s="59"/>
      <c r="E412" s="59"/>
      <c r="F412" s="59"/>
      <c r="G412" s="59"/>
      <c r="Y412" s="329"/>
    </row>
    <row r="413" spans="1:25" ht="16" hidden="1" customHeight="1">
      <c r="A413" s="51"/>
      <c r="B413" s="59"/>
      <c r="C413" s="59"/>
      <c r="D413" s="59"/>
      <c r="E413" s="59"/>
      <c r="F413" s="59"/>
      <c r="G413" s="59"/>
      <c r="Y413" s="329"/>
    </row>
    <row r="414" spans="1:25" ht="16" hidden="1" customHeight="1">
      <c r="A414" s="51"/>
      <c r="B414" s="59"/>
      <c r="C414" s="59"/>
      <c r="D414" s="59"/>
      <c r="E414" s="59"/>
      <c r="F414" s="59"/>
      <c r="G414" s="59"/>
      <c r="Y414" s="329"/>
    </row>
    <row r="415" spans="1:25" ht="16" hidden="1" customHeight="1">
      <c r="A415" s="51"/>
      <c r="B415" s="59"/>
      <c r="C415" s="59"/>
      <c r="D415" s="59"/>
      <c r="E415" s="59"/>
      <c r="F415" s="59"/>
      <c r="G415" s="59"/>
      <c r="Y415" s="329"/>
    </row>
    <row r="416" spans="1:25" ht="16" hidden="1" customHeight="1">
      <c r="A416" s="51"/>
      <c r="B416" s="59"/>
      <c r="C416" s="59"/>
      <c r="D416" s="59"/>
      <c r="E416" s="59"/>
      <c r="F416" s="59"/>
      <c r="G416" s="59"/>
      <c r="Y416" s="329"/>
    </row>
    <row r="417" spans="1:25" ht="16" hidden="1" customHeight="1">
      <c r="A417" s="51"/>
      <c r="B417" s="59"/>
      <c r="C417" s="59"/>
      <c r="D417" s="59"/>
      <c r="E417" s="59"/>
      <c r="F417" s="59"/>
      <c r="G417" s="59"/>
      <c r="Y417" s="329"/>
    </row>
    <row r="418" spans="1:25" ht="16" hidden="1" customHeight="1">
      <c r="A418" s="51"/>
      <c r="B418" s="59"/>
      <c r="C418" s="59"/>
      <c r="D418" s="59"/>
      <c r="E418" s="59"/>
      <c r="F418" s="59"/>
      <c r="G418" s="59"/>
      <c r="Y418" s="329"/>
    </row>
    <row r="419" spans="1:25" ht="16" hidden="1" customHeight="1">
      <c r="A419" s="51"/>
      <c r="B419" s="59"/>
      <c r="C419" s="59"/>
      <c r="D419" s="59"/>
      <c r="E419" s="59"/>
      <c r="F419" s="59"/>
      <c r="G419" s="59"/>
      <c r="Y419" s="329"/>
    </row>
    <row r="420" spans="1:25" ht="16" hidden="1" customHeight="1">
      <c r="A420" s="51"/>
      <c r="B420" s="59"/>
      <c r="C420" s="59"/>
      <c r="D420" s="59"/>
      <c r="E420" s="59"/>
      <c r="F420" s="59"/>
      <c r="G420" s="59"/>
      <c r="Y420" s="329"/>
    </row>
    <row r="421" spans="1:25" ht="16" hidden="1" customHeight="1">
      <c r="A421" s="51"/>
      <c r="B421" s="59"/>
      <c r="C421" s="59"/>
      <c r="D421" s="59"/>
      <c r="E421" s="59"/>
      <c r="F421" s="59"/>
      <c r="G421" s="59"/>
      <c r="Y421" s="329"/>
    </row>
    <row r="422" spans="1:25" ht="16" hidden="1" customHeight="1">
      <c r="A422" s="51"/>
      <c r="B422" s="59"/>
      <c r="C422" s="59"/>
      <c r="D422" s="59"/>
      <c r="E422" s="59"/>
      <c r="F422" s="59"/>
      <c r="G422" s="59"/>
      <c r="Y422" s="329"/>
    </row>
    <row r="423" spans="1:25" ht="16" hidden="1" customHeight="1">
      <c r="A423" s="51"/>
      <c r="B423" s="59"/>
      <c r="C423" s="59"/>
      <c r="D423" s="59"/>
      <c r="E423" s="59"/>
      <c r="F423" s="59"/>
      <c r="G423" s="59"/>
      <c r="Y423" s="329"/>
    </row>
    <row r="424" spans="1:25" ht="16" hidden="1" customHeight="1">
      <c r="A424" s="51"/>
      <c r="B424" s="59"/>
      <c r="C424" s="59"/>
      <c r="D424" s="59"/>
      <c r="E424" s="59"/>
      <c r="F424" s="59"/>
      <c r="G424" s="59"/>
      <c r="Y424" s="329"/>
    </row>
    <row r="425" spans="1:25" ht="16" hidden="1" customHeight="1">
      <c r="A425" s="51"/>
      <c r="B425" s="59"/>
      <c r="C425" s="59"/>
      <c r="D425" s="59"/>
      <c r="E425" s="59"/>
      <c r="F425" s="59"/>
      <c r="G425" s="59"/>
      <c r="Y425" s="329"/>
    </row>
    <row r="426" spans="1:25" ht="16" hidden="1" customHeight="1">
      <c r="A426" s="51"/>
      <c r="B426" s="59"/>
      <c r="C426" s="59"/>
      <c r="D426" s="59"/>
      <c r="E426" s="59"/>
      <c r="F426" s="59"/>
      <c r="G426" s="59"/>
      <c r="Y426" s="329"/>
    </row>
    <row r="427" spans="1:25" ht="16" hidden="1" customHeight="1">
      <c r="A427" s="51"/>
      <c r="B427" s="59"/>
      <c r="C427" s="59"/>
      <c r="D427" s="59"/>
      <c r="E427" s="59"/>
      <c r="F427" s="59"/>
      <c r="G427" s="59"/>
      <c r="Y427" s="329"/>
    </row>
    <row r="428" spans="1:25" ht="16" hidden="1" customHeight="1">
      <c r="A428" s="51"/>
      <c r="B428" s="59"/>
      <c r="C428" s="59"/>
      <c r="D428" s="59"/>
      <c r="E428" s="59"/>
      <c r="F428" s="59"/>
      <c r="G428" s="59"/>
      <c r="Y428" s="329"/>
    </row>
    <row r="429" spans="1:25" ht="16" hidden="1" customHeight="1">
      <c r="A429" s="51"/>
      <c r="B429" s="59"/>
      <c r="C429" s="59"/>
      <c r="D429" s="59"/>
      <c r="E429" s="59"/>
      <c r="F429" s="59"/>
      <c r="G429" s="59"/>
      <c r="Y429" s="329"/>
    </row>
    <row r="430" spans="1:25" ht="16" hidden="1" customHeight="1">
      <c r="A430" s="51"/>
      <c r="B430" s="59"/>
      <c r="C430" s="59"/>
      <c r="D430" s="59"/>
      <c r="E430" s="59"/>
      <c r="F430" s="59"/>
      <c r="G430" s="59"/>
      <c r="Y430" s="329"/>
    </row>
    <row r="431" spans="1:25" ht="16" hidden="1" customHeight="1">
      <c r="A431" s="51"/>
      <c r="B431" s="59"/>
      <c r="C431" s="59"/>
      <c r="D431" s="59"/>
      <c r="E431" s="59"/>
      <c r="F431" s="59"/>
      <c r="G431" s="59"/>
      <c r="Y431" s="329"/>
    </row>
    <row r="432" spans="1:25" ht="16" hidden="1" customHeight="1">
      <c r="A432" s="51"/>
      <c r="B432" s="59"/>
      <c r="C432" s="59"/>
      <c r="D432" s="59"/>
      <c r="E432" s="59"/>
      <c r="F432" s="59"/>
      <c r="G432" s="59"/>
      <c r="Y432" s="329"/>
    </row>
    <row r="433" spans="1:25" ht="16" hidden="1" customHeight="1">
      <c r="A433" s="51"/>
      <c r="B433" s="59"/>
      <c r="C433" s="59"/>
      <c r="D433" s="59"/>
      <c r="E433" s="59"/>
      <c r="F433" s="59"/>
      <c r="G433" s="59"/>
      <c r="Y433" s="329"/>
    </row>
    <row r="434" spans="1:25" ht="16" hidden="1" customHeight="1">
      <c r="A434" s="51"/>
      <c r="B434" s="59"/>
      <c r="C434" s="59"/>
      <c r="D434" s="59"/>
      <c r="E434" s="59"/>
      <c r="F434" s="59"/>
      <c r="G434" s="59"/>
      <c r="Y434" s="329"/>
    </row>
    <row r="435" spans="1:25" ht="16" hidden="1" customHeight="1">
      <c r="A435" s="51"/>
      <c r="B435" s="59"/>
      <c r="C435" s="59"/>
      <c r="D435" s="59"/>
      <c r="E435" s="59"/>
      <c r="F435" s="59"/>
      <c r="G435" s="59"/>
      <c r="Y435" s="329"/>
    </row>
    <row r="436" spans="1:25" ht="16" hidden="1" customHeight="1">
      <c r="A436" s="51"/>
      <c r="B436" s="59"/>
      <c r="C436" s="59"/>
      <c r="D436" s="59"/>
      <c r="E436" s="59"/>
      <c r="F436" s="59"/>
      <c r="G436" s="59"/>
      <c r="Y436" s="329"/>
    </row>
    <row r="437" spans="1:25" ht="16" hidden="1" customHeight="1">
      <c r="A437" s="51"/>
      <c r="B437" s="59"/>
      <c r="C437" s="59"/>
      <c r="D437" s="59"/>
      <c r="E437" s="59"/>
      <c r="F437" s="59"/>
      <c r="G437" s="59"/>
      <c r="Y437" s="329"/>
    </row>
    <row r="438" spans="1:25" ht="16" hidden="1" customHeight="1">
      <c r="A438" s="51"/>
      <c r="B438" s="59"/>
      <c r="C438" s="59"/>
      <c r="D438" s="59"/>
      <c r="E438" s="59"/>
      <c r="F438" s="59"/>
      <c r="G438" s="59"/>
      <c r="Y438" s="329"/>
    </row>
    <row r="439" spans="1:25" ht="16" hidden="1" customHeight="1">
      <c r="A439" s="51"/>
      <c r="B439" s="59"/>
      <c r="C439" s="59"/>
      <c r="D439" s="59"/>
      <c r="E439" s="59"/>
      <c r="F439" s="59"/>
      <c r="G439" s="59"/>
      <c r="Y439" s="329"/>
    </row>
    <row r="440" spans="1:25" ht="16" hidden="1" customHeight="1">
      <c r="A440" s="51"/>
      <c r="B440" s="59"/>
      <c r="C440" s="59"/>
      <c r="D440" s="59"/>
      <c r="E440" s="59"/>
      <c r="F440" s="59"/>
      <c r="G440" s="59"/>
      <c r="Y440" s="329"/>
    </row>
    <row r="441" spans="1:25" ht="16" hidden="1" customHeight="1">
      <c r="A441" s="51"/>
      <c r="B441" s="59"/>
      <c r="C441" s="59"/>
      <c r="D441" s="59"/>
      <c r="E441" s="59"/>
      <c r="F441" s="59"/>
      <c r="G441" s="59"/>
      <c r="Y441" s="329"/>
    </row>
    <row r="442" spans="1:25" ht="16" hidden="1" customHeight="1">
      <c r="A442" s="51"/>
      <c r="B442" s="59"/>
      <c r="C442" s="59"/>
      <c r="D442" s="59"/>
      <c r="E442" s="59"/>
      <c r="F442" s="59"/>
      <c r="G442" s="59"/>
      <c r="Y442" s="329"/>
    </row>
    <row r="443" spans="1:25" ht="16" hidden="1" customHeight="1">
      <c r="A443" s="51"/>
      <c r="B443" s="59"/>
      <c r="C443" s="59"/>
      <c r="D443" s="59"/>
      <c r="E443" s="59"/>
      <c r="F443" s="59"/>
      <c r="G443" s="59"/>
      <c r="Y443" s="329"/>
    </row>
    <row r="444" spans="1:25" ht="16" hidden="1" customHeight="1">
      <c r="A444" s="51"/>
      <c r="B444" s="59"/>
      <c r="C444" s="59"/>
      <c r="D444" s="59"/>
      <c r="E444" s="59"/>
      <c r="F444" s="59"/>
      <c r="G444" s="59"/>
      <c r="Y444" s="329"/>
    </row>
    <row r="445" spans="1:25" ht="16" hidden="1" customHeight="1">
      <c r="A445" s="51"/>
      <c r="B445" s="59"/>
      <c r="C445" s="59"/>
      <c r="D445" s="59"/>
      <c r="E445" s="59"/>
      <c r="F445" s="59"/>
      <c r="G445" s="59"/>
      <c r="Y445" s="329"/>
    </row>
    <row r="446" spans="1:25" ht="16" hidden="1" customHeight="1">
      <c r="A446" s="51"/>
      <c r="B446" s="59"/>
      <c r="C446" s="59"/>
      <c r="D446" s="59"/>
      <c r="E446" s="59"/>
      <c r="F446" s="59"/>
      <c r="G446" s="59"/>
      <c r="Y446" s="329"/>
    </row>
    <row r="447" spans="1:25" ht="16" hidden="1" customHeight="1">
      <c r="A447" s="51"/>
      <c r="B447" s="59"/>
      <c r="C447" s="59"/>
      <c r="D447" s="59"/>
      <c r="E447" s="59"/>
      <c r="F447" s="59"/>
      <c r="G447" s="59"/>
      <c r="Y447" s="329"/>
    </row>
    <row r="448" spans="1:25" ht="16" hidden="1" customHeight="1">
      <c r="A448" s="51"/>
      <c r="B448" s="59"/>
      <c r="C448" s="59"/>
      <c r="D448" s="59"/>
      <c r="E448" s="59"/>
      <c r="F448" s="59"/>
      <c r="G448" s="59"/>
      <c r="Y448" s="329"/>
    </row>
    <row r="449" spans="1:25" ht="16" hidden="1" customHeight="1">
      <c r="A449" s="51"/>
      <c r="B449" s="59"/>
      <c r="C449" s="59"/>
      <c r="D449" s="59"/>
      <c r="E449" s="59"/>
      <c r="F449" s="59"/>
      <c r="G449" s="59"/>
      <c r="Y449" s="329"/>
    </row>
    <row r="450" spans="1:25" ht="16" hidden="1" customHeight="1">
      <c r="A450" s="51"/>
      <c r="B450" s="59"/>
      <c r="C450" s="59"/>
      <c r="D450" s="59"/>
      <c r="E450" s="59"/>
      <c r="F450" s="59"/>
      <c r="G450" s="59"/>
      <c r="Y450" s="329"/>
    </row>
    <row r="451" spans="1:25" ht="16" hidden="1" customHeight="1">
      <c r="A451" s="51"/>
      <c r="B451" s="59"/>
      <c r="C451" s="59"/>
      <c r="D451" s="59"/>
      <c r="E451" s="59"/>
      <c r="F451" s="59"/>
      <c r="G451" s="59"/>
      <c r="Y451" s="329"/>
    </row>
    <row r="452" spans="1:25" ht="16" hidden="1" customHeight="1">
      <c r="A452" s="51"/>
      <c r="B452" s="59"/>
      <c r="C452" s="59"/>
      <c r="D452" s="59"/>
      <c r="E452" s="59"/>
      <c r="F452" s="59"/>
      <c r="G452" s="59"/>
      <c r="Y452" s="329"/>
    </row>
    <row r="453" spans="1:25" ht="16" hidden="1" customHeight="1">
      <c r="A453" s="51"/>
      <c r="B453" s="59"/>
      <c r="C453" s="59"/>
      <c r="D453" s="59"/>
      <c r="E453" s="59"/>
      <c r="F453" s="59"/>
      <c r="G453" s="59"/>
      <c r="Y453" s="329"/>
    </row>
    <row r="454" spans="1:25" ht="16" hidden="1" customHeight="1">
      <c r="A454" s="51"/>
      <c r="B454" s="59"/>
      <c r="C454" s="59"/>
      <c r="D454" s="59"/>
      <c r="E454" s="59"/>
      <c r="F454" s="59"/>
      <c r="G454" s="59"/>
      <c r="Y454" s="329"/>
    </row>
    <row r="455" spans="1:25" ht="16" hidden="1" customHeight="1">
      <c r="A455" s="51"/>
      <c r="B455" s="59"/>
      <c r="C455" s="59"/>
      <c r="D455" s="59"/>
      <c r="E455" s="59"/>
      <c r="F455" s="59"/>
      <c r="G455" s="59"/>
      <c r="Y455" s="329"/>
    </row>
    <row r="456" spans="1:25" ht="16" hidden="1" customHeight="1">
      <c r="A456" s="51"/>
      <c r="B456" s="59"/>
      <c r="C456" s="59"/>
      <c r="D456" s="59"/>
      <c r="E456" s="59"/>
      <c r="F456" s="59"/>
      <c r="G456" s="59"/>
      <c r="Y456" s="329"/>
    </row>
    <row r="457" spans="1:25" ht="16" hidden="1" customHeight="1">
      <c r="A457" s="51"/>
      <c r="B457" s="59"/>
      <c r="C457" s="59"/>
      <c r="D457" s="59"/>
      <c r="E457" s="59"/>
      <c r="F457" s="59"/>
      <c r="G457" s="59"/>
      <c r="Y457" s="329"/>
    </row>
    <row r="458" spans="1:25" ht="16" hidden="1" customHeight="1">
      <c r="A458" s="51"/>
      <c r="B458" s="59"/>
      <c r="C458" s="59"/>
      <c r="D458" s="59"/>
      <c r="E458" s="59"/>
      <c r="F458" s="59"/>
      <c r="G458" s="59"/>
      <c r="Y458" s="329"/>
    </row>
    <row r="459" spans="1:25" ht="16" hidden="1" customHeight="1">
      <c r="A459" s="51"/>
      <c r="B459" s="59"/>
      <c r="C459" s="59"/>
      <c r="D459" s="59"/>
      <c r="E459" s="59"/>
      <c r="F459" s="59"/>
      <c r="G459" s="59"/>
      <c r="Y459" s="329"/>
    </row>
    <row r="460" spans="1:25" ht="16" hidden="1" customHeight="1">
      <c r="A460" s="51"/>
      <c r="B460" s="59"/>
      <c r="C460" s="59"/>
      <c r="D460" s="59"/>
      <c r="E460" s="59"/>
      <c r="F460" s="59"/>
      <c r="G460" s="59"/>
      <c r="Y460" s="329"/>
    </row>
    <row r="461" spans="1:25" ht="16" hidden="1" customHeight="1">
      <c r="A461" s="51"/>
      <c r="B461" s="59"/>
      <c r="C461" s="59"/>
      <c r="D461" s="59"/>
      <c r="E461" s="59"/>
      <c r="F461" s="59"/>
      <c r="G461" s="59"/>
      <c r="Y461" s="329"/>
    </row>
    <row r="462" spans="1:25" ht="16" hidden="1" customHeight="1">
      <c r="A462" s="51"/>
      <c r="B462" s="59"/>
      <c r="C462" s="59"/>
      <c r="D462" s="59"/>
      <c r="E462" s="59"/>
      <c r="F462" s="59"/>
      <c r="G462" s="59"/>
      <c r="Y462" s="329"/>
    </row>
    <row r="463" spans="1:25" ht="16" hidden="1" customHeight="1">
      <c r="A463" s="51"/>
      <c r="B463" s="59"/>
      <c r="C463" s="59"/>
      <c r="D463" s="59"/>
      <c r="E463" s="59"/>
      <c r="F463" s="59"/>
      <c r="G463" s="59"/>
      <c r="Y463" s="329"/>
    </row>
    <row r="464" spans="1:25" ht="16" hidden="1" customHeight="1">
      <c r="A464" s="51"/>
      <c r="B464" s="59"/>
      <c r="C464" s="59"/>
      <c r="D464" s="59"/>
      <c r="E464" s="59"/>
      <c r="F464" s="59"/>
      <c r="G464" s="59"/>
      <c r="Y464" s="329"/>
    </row>
    <row r="465" spans="1:25" ht="16" hidden="1" customHeight="1">
      <c r="A465" s="51"/>
      <c r="B465" s="59"/>
      <c r="C465" s="59"/>
      <c r="D465" s="59"/>
      <c r="E465" s="59"/>
      <c r="F465" s="59"/>
      <c r="G465" s="59"/>
      <c r="Y465" s="329"/>
    </row>
    <row r="466" spans="1:25" ht="16" hidden="1" customHeight="1">
      <c r="A466" s="51"/>
      <c r="B466" s="59"/>
      <c r="C466" s="59"/>
      <c r="D466" s="59"/>
      <c r="E466" s="59"/>
      <c r="F466" s="59"/>
      <c r="G466" s="59"/>
      <c r="Y466" s="329"/>
    </row>
    <row r="467" spans="1:25" ht="16" hidden="1" customHeight="1">
      <c r="A467" s="51"/>
      <c r="B467" s="59"/>
      <c r="C467" s="59"/>
      <c r="D467" s="59"/>
      <c r="E467" s="59"/>
      <c r="F467" s="59"/>
      <c r="G467" s="59"/>
      <c r="Y467" s="329"/>
    </row>
    <row r="468" spans="1:25" ht="16" hidden="1" customHeight="1">
      <c r="A468" s="51"/>
      <c r="B468" s="59"/>
      <c r="C468" s="59"/>
      <c r="D468" s="59"/>
      <c r="E468" s="59"/>
      <c r="F468" s="59"/>
      <c r="G468" s="59"/>
      <c r="Y468" s="329"/>
    </row>
    <row r="469" spans="1:25" ht="16" hidden="1" customHeight="1">
      <c r="A469" s="51"/>
      <c r="B469" s="59"/>
      <c r="C469" s="59"/>
      <c r="D469" s="59"/>
      <c r="E469" s="59"/>
      <c r="F469" s="59"/>
      <c r="G469" s="59"/>
      <c r="Y469" s="329"/>
    </row>
    <row r="470" spans="1:25" ht="16" hidden="1" customHeight="1">
      <c r="A470" s="51"/>
      <c r="B470" s="59"/>
      <c r="C470" s="59"/>
      <c r="D470" s="59"/>
      <c r="E470" s="59"/>
      <c r="F470" s="59"/>
      <c r="G470" s="59"/>
      <c r="Y470" s="329"/>
    </row>
    <row r="471" spans="1:25" ht="16" hidden="1" customHeight="1">
      <c r="A471" s="51"/>
      <c r="B471" s="59"/>
      <c r="C471" s="59"/>
      <c r="D471" s="59"/>
      <c r="E471" s="59"/>
      <c r="F471" s="59"/>
      <c r="G471" s="59"/>
      <c r="Y471" s="329"/>
    </row>
    <row r="472" spans="1:25" ht="16" hidden="1" customHeight="1">
      <c r="A472" s="51"/>
      <c r="B472" s="59"/>
      <c r="C472" s="59"/>
      <c r="D472" s="59"/>
      <c r="E472" s="59"/>
      <c r="F472" s="59"/>
      <c r="G472" s="59"/>
      <c r="Y472" s="329"/>
    </row>
    <row r="473" spans="1:25" ht="16" hidden="1" customHeight="1">
      <c r="A473" s="51"/>
      <c r="B473" s="59"/>
      <c r="C473" s="59"/>
      <c r="D473" s="59"/>
      <c r="E473" s="59"/>
      <c r="F473" s="59"/>
      <c r="G473" s="59"/>
      <c r="Y473" s="329"/>
    </row>
    <row r="474" spans="1:25" ht="16" hidden="1" customHeight="1">
      <c r="A474" s="51"/>
      <c r="B474" s="59"/>
      <c r="C474" s="59"/>
      <c r="D474" s="59"/>
      <c r="E474" s="59"/>
      <c r="F474" s="59"/>
      <c r="G474" s="59"/>
      <c r="Y474" s="329"/>
    </row>
    <row r="475" spans="1:25" ht="16" hidden="1" customHeight="1">
      <c r="A475" s="51"/>
      <c r="B475" s="59"/>
      <c r="C475" s="59"/>
      <c r="D475" s="59"/>
      <c r="E475" s="59"/>
      <c r="F475" s="59"/>
      <c r="G475" s="59"/>
      <c r="Y475" s="329"/>
    </row>
    <row r="476" spans="1:25" ht="16" hidden="1" customHeight="1">
      <c r="A476" s="51"/>
      <c r="B476" s="59"/>
      <c r="C476" s="59"/>
      <c r="D476" s="59"/>
      <c r="E476" s="59"/>
      <c r="F476" s="59"/>
      <c r="G476" s="59"/>
      <c r="Y476" s="329"/>
    </row>
    <row r="477" spans="1:25" ht="16" hidden="1" customHeight="1">
      <c r="A477" s="51"/>
      <c r="B477" s="59"/>
      <c r="C477" s="59"/>
      <c r="D477" s="59"/>
      <c r="E477" s="59"/>
      <c r="F477" s="59"/>
      <c r="G477" s="59"/>
      <c r="Y477" s="329"/>
    </row>
    <row r="478" spans="1:25" ht="16" hidden="1" customHeight="1">
      <c r="A478" s="51"/>
      <c r="B478" s="59"/>
      <c r="C478" s="59"/>
      <c r="D478" s="59"/>
      <c r="E478" s="59"/>
      <c r="F478" s="59"/>
      <c r="G478" s="59"/>
      <c r="Y478" s="329"/>
    </row>
    <row r="479" spans="1:25" ht="16" hidden="1" customHeight="1">
      <c r="A479" s="51"/>
      <c r="B479" s="59"/>
      <c r="C479" s="59"/>
      <c r="D479" s="59"/>
      <c r="E479" s="59"/>
      <c r="F479" s="59"/>
      <c r="G479" s="59"/>
      <c r="Y479" s="329"/>
    </row>
    <row r="480" spans="1:25" ht="16" hidden="1" customHeight="1">
      <c r="A480" s="51"/>
      <c r="B480" s="59"/>
      <c r="C480" s="59"/>
      <c r="D480" s="59"/>
      <c r="E480" s="59"/>
      <c r="F480" s="59"/>
      <c r="G480" s="59"/>
      <c r="Y480" s="329"/>
    </row>
    <row r="481" spans="1:25" ht="16" hidden="1" customHeight="1">
      <c r="A481" s="51"/>
      <c r="B481" s="59"/>
      <c r="C481" s="59"/>
      <c r="D481" s="59"/>
      <c r="E481" s="59"/>
      <c r="F481" s="59"/>
      <c r="G481" s="59"/>
      <c r="Y481" s="329"/>
    </row>
    <row r="482" spans="1:25" ht="16" hidden="1" customHeight="1">
      <c r="A482" s="51"/>
      <c r="B482" s="59"/>
      <c r="C482" s="59"/>
      <c r="D482" s="59"/>
      <c r="E482" s="59"/>
      <c r="F482" s="59"/>
      <c r="G482" s="59"/>
      <c r="Y482" s="329"/>
    </row>
    <row r="483" spans="1:25" ht="16" hidden="1" customHeight="1">
      <c r="A483" s="51"/>
      <c r="B483" s="59"/>
      <c r="C483" s="59"/>
      <c r="D483" s="59"/>
      <c r="E483" s="59"/>
      <c r="F483" s="59"/>
      <c r="G483" s="59"/>
      <c r="Y483" s="329"/>
    </row>
    <row r="484" spans="1:25" ht="16" hidden="1" customHeight="1">
      <c r="A484" s="51"/>
      <c r="B484" s="59"/>
      <c r="C484" s="59"/>
      <c r="D484" s="59"/>
      <c r="E484" s="59"/>
      <c r="F484" s="59"/>
      <c r="G484" s="59"/>
      <c r="Y484" s="329"/>
    </row>
    <row r="485" spans="1:25" ht="16" hidden="1" customHeight="1">
      <c r="A485" s="51"/>
      <c r="B485" s="59"/>
      <c r="C485" s="59"/>
      <c r="D485" s="59"/>
      <c r="E485" s="59"/>
      <c r="F485" s="59"/>
      <c r="G485" s="59"/>
      <c r="Y485" s="329"/>
    </row>
    <row r="486" spans="1:25" ht="16" hidden="1" customHeight="1">
      <c r="A486" s="51"/>
      <c r="B486" s="59"/>
      <c r="C486" s="59"/>
      <c r="D486" s="59"/>
      <c r="E486" s="59"/>
      <c r="F486" s="59"/>
      <c r="G486" s="59"/>
      <c r="Y486" s="329"/>
    </row>
    <row r="487" spans="1:25" ht="16" hidden="1" customHeight="1">
      <c r="A487" s="51"/>
      <c r="B487" s="59"/>
      <c r="C487" s="59"/>
      <c r="D487" s="59"/>
      <c r="E487" s="59"/>
      <c r="F487" s="59"/>
      <c r="G487" s="59"/>
      <c r="Y487" s="329"/>
    </row>
    <row r="488" spans="1:25" ht="16" hidden="1" customHeight="1">
      <c r="A488" s="51"/>
      <c r="B488" s="59"/>
      <c r="C488" s="59"/>
      <c r="D488" s="59"/>
      <c r="E488" s="59"/>
      <c r="F488" s="59"/>
      <c r="G488" s="59"/>
      <c r="Y488" s="329"/>
    </row>
    <row r="489" spans="1:25" ht="16" hidden="1" customHeight="1">
      <c r="A489" s="51"/>
      <c r="B489" s="59"/>
      <c r="C489" s="59"/>
      <c r="D489" s="59"/>
      <c r="E489" s="59"/>
      <c r="F489" s="59"/>
      <c r="G489" s="59"/>
      <c r="Y489" s="329"/>
    </row>
    <row r="490" spans="1:25" ht="16" hidden="1" customHeight="1">
      <c r="A490" s="51"/>
      <c r="B490" s="59"/>
      <c r="C490" s="59"/>
      <c r="D490" s="59"/>
      <c r="E490" s="59"/>
      <c r="F490" s="59"/>
      <c r="G490" s="59"/>
      <c r="Y490" s="329"/>
    </row>
    <row r="491" spans="1:25" ht="16" hidden="1" customHeight="1">
      <c r="A491" s="51"/>
      <c r="B491" s="59"/>
      <c r="C491" s="59"/>
      <c r="D491" s="59"/>
      <c r="E491" s="59"/>
      <c r="F491" s="59"/>
      <c r="G491" s="59"/>
      <c r="Y491" s="329"/>
    </row>
    <row r="492" spans="1:25" ht="16" hidden="1" customHeight="1">
      <c r="A492" s="51"/>
      <c r="B492" s="59"/>
      <c r="C492" s="59"/>
      <c r="D492" s="59"/>
      <c r="E492" s="59"/>
      <c r="F492" s="59"/>
      <c r="G492" s="59"/>
      <c r="Y492" s="329"/>
    </row>
    <row r="493" spans="1:25" ht="16" hidden="1" customHeight="1">
      <c r="A493" s="51"/>
      <c r="B493" s="59"/>
      <c r="C493" s="59"/>
      <c r="D493" s="59"/>
      <c r="E493" s="59"/>
      <c r="F493" s="59"/>
      <c r="G493" s="59"/>
      <c r="Y493" s="329"/>
    </row>
    <row r="494" spans="1:25" ht="16" hidden="1" customHeight="1">
      <c r="A494" s="51"/>
      <c r="B494" s="59"/>
      <c r="C494" s="59"/>
      <c r="D494" s="59"/>
      <c r="E494" s="59"/>
      <c r="F494" s="59"/>
      <c r="G494" s="59"/>
      <c r="Y494" s="329"/>
    </row>
    <row r="495" spans="1:25" ht="16" hidden="1" customHeight="1">
      <c r="A495" s="51"/>
      <c r="B495" s="59"/>
      <c r="C495" s="59"/>
      <c r="D495" s="59"/>
      <c r="E495" s="59"/>
      <c r="F495" s="59"/>
      <c r="G495" s="59"/>
      <c r="Y495" s="329"/>
    </row>
    <row r="496" spans="1:25" ht="16" hidden="1" customHeight="1">
      <c r="A496" s="51"/>
      <c r="B496" s="59"/>
      <c r="C496" s="59"/>
      <c r="D496" s="59"/>
      <c r="E496" s="59"/>
      <c r="F496" s="59"/>
      <c r="G496" s="59"/>
      <c r="Y496" s="329"/>
    </row>
    <row r="497" spans="1:25" ht="16" hidden="1" customHeight="1">
      <c r="A497" s="51"/>
      <c r="B497" s="59"/>
      <c r="C497" s="59"/>
      <c r="D497" s="59"/>
      <c r="E497" s="59"/>
      <c r="F497" s="59"/>
      <c r="G497" s="59"/>
      <c r="Y497" s="329"/>
    </row>
    <row r="498" spans="1:25" ht="16" hidden="1" customHeight="1">
      <c r="A498" s="51"/>
      <c r="B498" s="59"/>
      <c r="C498" s="59"/>
      <c r="D498" s="59"/>
      <c r="E498" s="59"/>
      <c r="F498" s="59"/>
      <c r="G498" s="59"/>
      <c r="Y498" s="329"/>
    </row>
    <row r="499" spans="1:25" ht="16" hidden="1" customHeight="1">
      <c r="A499" s="51"/>
      <c r="B499" s="59"/>
      <c r="C499" s="59"/>
      <c r="D499" s="59"/>
      <c r="E499" s="59"/>
      <c r="F499" s="59"/>
      <c r="G499" s="59"/>
      <c r="Y499" s="329"/>
    </row>
    <row r="500" spans="1:25" ht="16" hidden="1" customHeight="1">
      <c r="A500" s="51"/>
      <c r="B500" s="59"/>
      <c r="C500" s="59"/>
      <c r="D500" s="59"/>
      <c r="E500" s="59"/>
      <c r="F500" s="59"/>
      <c r="G500" s="59"/>
      <c r="Y500" s="329"/>
    </row>
    <row r="501" spans="1:25" ht="16" hidden="1" customHeight="1">
      <c r="A501" s="51"/>
      <c r="B501" s="59"/>
      <c r="C501" s="59"/>
      <c r="D501" s="59"/>
      <c r="E501" s="59"/>
      <c r="F501" s="59"/>
      <c r="G501" s="59"/>
      <c r="Y501" s="329"/>
    </row>
    <row r="502" spans="1:25" ht="16" hidden="1" customHeight="1">
      <c r="A502" s="51"/>
      <c r="B502" s="59"/>
      <c r="C502" s="59"/>
      <c r="D502" s="59"/>
      <c r="E502" s="59"/>
      <c r="F502" s="59"/>
      <c r="G502" s="59"/>
      <c r="Y502" s="329"/>
    </row>
    <row r="503" spans="1:25" ht="16" hidden="1" customHeight="1">
      <c r="A503" s="51"/>
      <c r="B503" s="59"/>
      <c r="C503" s="59"/>
      <c r="D503" s="59"/>
      <c r="E503" s="59"/>
      <c r="F503" s="59"/>
      <c r="G503" s="59"/>
      <c r="Y503" s="329"/>
    </row>
    <row r="504" spans="1:25" ht="16" hidden="1" customHeight="1">
      <c r="A504" s="51"/>
      <c r="B504" s="59"/>
      <c r="C504" s="59"/>
      <c r="D504" s="59"/>
      <c r="E504" s="59"/>
      <c r="F504" s="59"/>
      <c r="G504" s="59"/>
      <c r="Y504" s="329"/>
    </row>
    <row r="505" spans="1:25" ht="16" hidden="1" customHeight="1">
      <c r="A505" s="51"/>
      <c r="B505" s="59"/>
      <c r="C505" s="59"/>
      <c r="D505" s="59"/>
      <c r="E505" s="59"/>
      <c r="F505" s="59"/>
      <c r="G505" s="59"/>
      <c r="Y505" s="329"/>
    </row>
    <row r="506" spans="1:25" ht="16" hidden="1" customHeight="1">
      <c r="A506" s="51"/>
      <c r="B506" s="59"/>
      <c r="C506" s="59"/>
      <c r="D506" s="59"/>
      <c r="E506" s="59"/>
      <c r="F506" s="59"/>
      <c r="G506" s="59"/>
      <c r="Y506" s="329"/>
    </row>
    <row r="507" spans="1:25" ht="16" hidden="1" customHeight="1">
      <c r="A507" s="51"/>
      <c r="B507" s="59"/>
      <c r="C507" s="59"/>
      <c r="D507" s="59"/>
      <c r="E507" s="59"/>
      <c r="F507" s="59"/>
      <c r="G507" s="59"/>
      <c r="Y507" s="329"/>
    </row>
    <row r="508" spans="1:25" ht="16" hidden="1" customHeight="1">
      <c r="A508" s="51"/>
      <c r="B508" s="59"/>
      <c r="C508" s="59"/>
      <c r="D508" s="59"/>
      <c r="E508" s="59"/>
      <c r="F508" s="59"/>
      <c r="G508" s="59"/>
      <c r="Y508" s="329"/>
    </row>
    <row r="509" spans="1:25" ht="16" hidden="1" customHeight="1">
      <c r="A509" s="51"/>
      <c r="B509" s="59"/>
      <c r="C509" s="59"/>
      <c r="D509" s="59"/>
      <c r="E509" s="59"/>
      <c r="F509" s="59"/>
      <c r="G509" s="59"/>
      <c r="Y509" s="329"/>
    </row>
    <row r="510" spans="1:25" ht="16" hidden="1" customHeight="1">
      <c r="A510" s="51"/>
      <c r="B510" s="59"/>
      <c r="C510" s="59"/>
      <c r="D510" s="59"/>
      <c r="E510" s="59"/>
      <c r="F510" s="59"/>
      <c r="G510" s="59"/>
      <c r="Y510" s="329"/>
    </row>
    <row r="511" spans="1:25" ht="16" hidden="1" customHeight="1">
      <c r="A511" s="51"/>
      <c r="B511" s="59"/>
      <c r="C511" s="59"/>
      <c r="D511" s="59"/>
      <c r="E511" s="59"/>
      <c r="F511" s="59"/>
      <c r="G511" s="59"/>
      <c r="Y511" s="329"/>
    </row>
    <row r="512" spans="1:25" ht="16" hidden="1" customHeight="1">
      <c r="A512" s="51"/>
      <c r="B512" s="59"/>
      <c r="C512" s="59"/>
      <c r="D512" s="59"/>
      <c r="E512" s="59"/>
      <c r="F512" s="59"/>
      <c r="G512" s="59"/>
      <c r="Y512" s="329"/>
    </row>
    <row r="513" spans="1:25" ht="16" hidden="1" customHeight="1">
      <c r="A513" s="51"/>
      <c r="B513" s="59"/>
      <c r="C513" s="59"/>
      <c r="D513" s="59"/>
      <c r="E513" s="59"/>
      <c r="F513" s="59"/>
      <c r="G513" s="59"/>
      <c r="Y513" s="329"/>
    </row>
    <row r="514" spans="1:25" ht="16" hidden="1" customHeight="1">
      <c r="A514" s="51"/>
      <c r="B514" s="59"/>
      <c r="C514" s="59"/>
      <c r="D514" s="59"/>
      <c r="E514" s="59"/>
      <c r="F514" s="59"/>
      <c r="G514" s="59"/>
      <c r="Y514" s="329"/>
    </row>
    <row r="515" spans="1:25" ht="16" hidden="1" customHeight="1">
      <c r="A515" s="51"/>
      <c r="B515" s="59"/>
      <c r="C515" s="59"/>
      <c r="D515" s="59"/>
      <c r="E515" s="59"/>
      <c r="F515" s="59"/>
      <c r="G515" s="59"/>
      <c r="Y515" s="329"/>
    </row>
    <row r="516" spans="1:25" ht="16" hidden="1" customHeight="1">
      <c r="A516" s="51"/>
      <c r="B516" s="59"/>
      <c r="C516" s="59"/>
      <c r="D516" s="59"/>
      <c r="E516" s="59"/>
      <c r="F516" s="59"/>
      <c r="G516" s="59"/>
      <c r="Y516" s="329"/>
    </row>
    <row r="517" spans="1:25" ht="16" hidden="1" customHeight="1">
      <c r="A517" s="51"/>
      <c r="B517" s="59"/>
      <c r="C517" s="59"/>
      <c r="D517" s="59"/>
      <c r="E517" s="59"/>
      <c r="F517" s="59"/>
      <c r="G517" s="59"/>
      <c r="Y517" s="329"/>
    </row>
    <row r="518" spans="1:25" ht="16" hidden="1" customHeight="1">
      <c r="A518" s="51"/>
      <c r="B518" s="59"/>
      <c r="C518" s="59"/>
      <c r="D518" s="59"/>
      <c r="E518" s="59"/>
      <c r="F518" s="59"/>
      <c r="G518" s="59"/>
      <c r="Y518" s="329"/>
    </row>
    <row r="519" spans="1:25" ht="16" hidden="1" customHeight="1">
      <c r="A519" s="51"/>
      <c r="B519" s="59"/>
      <c r="C519" s="59"/>
      <c r="D519" s="59"/>
      <c r="E519" s="59"/>
      <c r="F519" s="59"/>
      <c r="G519" s="59"/>
      <c r="Y519" s="329"/>
    </row>
    <row r="520" spans="1:25" ht="16" hidden="1" customHeight="1">
      <c r="A520" s="51"/>
      <c r="B520" s="59"/>
      <c r="C520" s="59"/>
      <c r="D520" s="59"/>
      <c r="E520" s="59"/>
      <c r="F520" s="59"/>
      <c r="G520" s="59"/>
      <c r="Y520" s="329"/>
    </row>
    <row r="521" spans="1:25" ht="16" hidden="1" customHeight="1">
      <c r="A521" s="51"/>
      <c r="B521" s="59"/>
      <c r="C521" s="59"/>
      <c r="D521" s="59"/>
      <c r="E521" s="59"/>
      <c r="F521" s="59"/>
      <c r="G521" s="59"/>
      <c r="Y521" s="329"/>
    </row>
    <row r="522" spans="1:25" ht="16" hidden="1" customHeight="1">
      <c r="A522" s="51"/>
      <c r="B522" s="59"/>
      <c r="C522" s="59"/>
      <c r="D522" s="59"/>
      <c r="E522" s="59"/>
      <c r="F522" s="59"/>
      <c r="G522" s="59"/>
      <c r="Y522" s="329"/>
    </row>
    <row r="523" spans="1:25" ht="16" hidden="1" customHeight="1">
      <c r="A523" s="51"/>
      <c r="B523" s="59"/>
      <c r="C523" s="59"/>
      <c r="D523" s="59"/>
      <c r="E523" s="59"/>
      <c r="F523" s="59"/>
      <c r="G523" s="59"/>
      <c r="Y523" s="329"/>
    </row>
    <row r="524" spans="1:25" ht="16" hidden="1" customHeight="1">
      <c r="A524" s="51"/>
      <c r="B524" s="59"/>
      <c r="C524" s="59"/>
      <c r="D524" s="59"/>
      <c r="E524" s="59"/>
      <c r="F524" s="59"/>
      <c r="G524" s="59"/>
      <c r="Y524" s="329"/>
    </row>
    <row r="525" spans="1:25" ht="16" hidden="1" customHeight="1">
      <c r="A525" s="51"/>
      <c r="B525" s="59"/>
      <c r="C525" s="59"/>
      <c r="D525" s="59"/>
      <c r="E525" s="59"/>
      <c r="F525" s="59"/>
      <c r="G525" s="59"/>
      <c r="Y525" s="329"/>
    </row>
    <row r="526" spans="1:25" ht="16" hidden="1" customHeight="1">
      <c r="A526" s="51"/>
      <c r="B526" s="59"/>
      <c r="C526" s="59"/>
      <c r="D526" s="59"/>
      <c r="E526" s="59"/>
      <c r="F526" s="59"/>
      <c r="G526" s="59"/>
      <c r="Y526" s="329"/>
    </row>
    <row r="527" spans="1:25" ht="16" hidden="1" customHeight="1">
      <c r="A527" s="51"/>
      <c r="B527" s="59"/>
      <c r="C527" s="59"/>
      <c r="D527" s="59"/>
      <c r="E527" s="59"/>
      <c r="F527" s="59"/>
      <c r="G527" s="59"/>
      <c r="Y527" s="329"/>
    </row>
    <row r="528" spans="1:25" ht="16" hidden="1" customHeight="1">
      <c r="A528" s="51"/>
      <c r="B528" s="59"/>
      <c r="C528" s="59"/>
      <c r="D528" s="59"/>
      <c r="E528" s="59"/>
      <c r="F528" s="59"/>
      <c r="G528" s="59"/>
      <c r="Y528" s="329"/>
    </row>
    <row r="529" spans="1:25" ht="16" hidden="1" customHeight="1">
      <c r="A529" s="51"/>
      <c r="B529" s="59"/>
      <c r="C529" s="59"/>
      <c r="D529" s="59"/>
      <c r="E529" s="59"/>
      <c r="F529" s="59"/>
      <c r="G529" s="59"/>
      <c r="Y529" s="329"/>
    </row>
    <row r="530" spans="1:25" ht="16" hidden="1" customHeight="1">
      <c r="A530" s="51"/>
      <c r="B530" s="59"/>
      <c r="C530" s="59"/>
      <c r="D530" s="59"/>
      <c r="E530" s="59"/>
      <c r="F530" s="59"/>
      <c r="G530" s="59"/>
      <c r="Y530" s="329"/>
    </row>
    <row r="531" spans="1:25" ht="16" hidden="1" customHeight="1">
      <c r="A531" s="51"/>
      <c r="B531" s="59"/>
      <c r="C531" s="59"/>
      <c r="D531" s="59"/>
      <c r="E531" s="59"/>
      <c r="F531" s="59"/>
      <c r="G531" s="59"/>
      <c r="Y531" s="329"/>
    </row>
    <row r="532" spans="1:25" ht="16" hidden="1" customHeight="1">
      <c r="A532" s="51"/>
      <c r="B532" s="59"/>
      <c r="C532" s="59"/>
      <c r="D532" s="59"/>
      <c r="E532" s="59"/>
      <c r="F532" s="59"/>
      <c r="G532" s="59"/>
      <c r="Y532" s="329"/>
    </row>
    <row r="533" spans="1:25" ht="16" hidden="1" customHeight="1">
      <c r="A533" s="51"/>
      <c r="B533" s="59"/>
      <c r="C533" s="59"/>
      <c r="D533" s="59"/>
      <c r="E533" s="59"/>
      <c r="F533" s="59"/>
      <c r="G533" s="59"/>
      <c r="Y533" s="329"/>
    </row>
    <row r="534" spans="1:25" ht="16" hidden="1" customHeight="1">
      <c r="A534" s="51"/>
      <c r="B534" s="59"/>
      <c r="C534" s="59"/>
      <c r="D534" s="59"/>
      <c r="E534" s="59"/>
      <c r="F534" s="59"/>
      <c r="G534" s="59"/>
      <c r="Y534" s="329"/>
    </row>
    <row r="535" spans="1:25" ht="16" hidden="1" customHeight="1">
      <c r="A535" s="51"/>
      <c r="B535" s="59"/>
      <c r="C535" s="59"/>
      <c r="D535" s="59"/>
      <c r="E535" s="59"/>
      <c r="F535" s="59"/>
      <c r="G535" s="59"/>
      <c r="Y535" s="329"/>
    </row>
    <row r="536" spans="1:25" ht="16" hidden="1" customHeight="1">
      <c r="A536" s="51"/>
      <c r="B536" s="59"/>
      <c r="C536" s="59"/>
      <c r="D536" s="59"/>
      <c r="E536" s="59"/>
      <c r="F536" s="59"/>
      <c r="G536" s="59"/>
      <c r="Y536" s="329"/>
    </row>
    <row r="537" spans="1:25" ht="16" hidden="1" customHeight="1">
      <c r="A537" s="51"/>
      <c r="B537" s="59"/>
      <c r="C537" s="59"/>
      <c r="D537" s="59"/>
      <c r="E537" s="59"/>
      <c r="F537" s="59"/>
      <c r="G537" s="59"/>
      <c r="Y537" s="329"/>
    </row>
    <row r="538" spans="1:25" ht="16" hidden="1" customHeight="1">
      <c r="A538" s="51"/>
      <c r="B538" s="59"/>
      <c r="C538" s="59"/>
      <c r="D538" s="59"/>
      <c r="E538" s="59"/>
      <c r="F538" s="59"/>
      <c r="G538" s="59"/>
      <c r="Y538" s="329"/>
    </row>
    <row r="539" spans="1:25" ht="16" hidden="1" customHeight="1">
      <c r="A539" s="51"/>
      <c r="B539" s="59"/>
      <c r="C539" s="59"/>
      <c r="D539" s="59"/>
      <c r="E539" s="59"/>
      <c r="F539" s="59"/>
      <c r="G539" s="59"/>
      <c r="Y539" s="329"/>
    </row>
    <row r="540" spans="1:25" ht="16" hidden="1" customHeight="1">
      <c r="A540" s="51"/>
      <c r="B540" s="59"/>
      <c r="C540" s="59"/>
      <c r="D540" s="59"/>
      <c r="E540" s="59"/>
      <c r="F540" s="59"/>
      <c r="G540" s="59"/>
      <c r="Y540" s="329"/>
    </row>
    <row r="541" spans="1:25" ht="16" hidden="1" customHeight="1">
      <c r="A541" s="51"/>
      <c r="B541" s="59"/>
      <c r="C541" s="59"/>
      <c r="D541" s="59"/>
      <c r="E541" s="59"/>
      <c r="F541" s="59"/>
      <c r="G541" s="59"/>
      <c r="Y541" s="329"/>
    </row>
    <row r="542" spans="1:25" ht="16" hidden="1" customHeight="1">
      <c r="A542" s="51"/>
      <c r="B542" s="59"/>
      <c r="C542" s="59"/>
      <c r="D542" s="59"/>
      <c r="E542" s="59"/>
      <c r="F542" s="59"/>
      <c r="G542" s="59"/>
      <c r="Y542" s="329"/>
    </row>
    <row r="543" spans="1:25" ht="16" hidden="1" customHeight="1">
      <c r="A543" s="51"/>
      <c r="B543" s="59"/>
      <c r="C543" s="59"/>
      <c r="D543" s="59"/>
      <c r="E543" s="59"/>
      <c r="F543" s="59"/>
      <c r="G543" s="59"/>
      <c r="Y543" s="329"/>
    </row>
    <row r="544" spans="1:25" ht="16" hidden="1" customHeight="1">
      <c r="A544" s="51"/>
      <c r="B544" s="59"/>
      <c r="C544" s="59"/>
      <c r="D544" s="59"/>
      <c r="E544" s="59"/>
      <c r="F544" s="59"/>
      <c r="G544" s="59"/>
      <c r="Y544" s="329"/>
    </row>
    <row r="545" spans="1:25" ht="16" hidden="1" customHeight="1">
      <c r="A545" s="51"/>
      <c r="B545" s="59"/>
      <c r="C545" s="59"/>
      <c r="D545" s="59"/>
      <c r="E545" s="59"/>
      <c r="F545" s="59"/>
      <c r="G545" s="59"/>
      <c r="Y545" s="329"/>
    </row>
    <row r="546" spans="1:25" ht="16" hidden="1" customHeight="1">
      <c r="A546" s="51"/>
      <c r="B546" s="59"/>
      <c r="C546" s="59"/>
      <c r="D546" s="59"/>
      <c r="E546" s="59"/>
      <c r="F546" s="59"/>
      <c r="G546" s="59"/>
      <c r="Y546" s="329"/>
    </row>
    <row r="547" spans="1:25" ht="16" hidden="1" customHeight="1">
      <c r="A547" s="51"/>
      <c r="B547" s="59"/>
      <c r="C547" s="59"/>
      <c r="D547" s="59"/>
      <c r="E547" s="59"/>
      <c r="F547" s="59"/>
      <c r="G547" s="59"/>
      <c r="Y547" s="329"/>
    </row>
    <row r="548" spans="1:25" ht="16" hidden="1" customHeight="1">
      <c r="A548" s="51"/>
      <c r="B548" s="59"/>
      <c r="C548" s="59"/>
      <c r="D548" s="59"/>
      <c r="E548" s="59"/>
      <c r="F548" s="59"/>
      <c r="G548" s="59"/>
      <c r="Y548" s="329"/>
    </row>
    <row r="549" spans="1:25" ht="16" hidden="1" customHeight="1">
      <c r="A549" s="51"/>
      <c r="B549" s="59"/>
      <c r="C549" s="59"/>
      <c r="D549" s="59"/>
      <c r="E549" s="59"/>
      <c r="F549" s="59"/>
      <c r="G549" s="59"/>
      <c r="Y549" s="329"/>
    </row>
    <row r="550" spans="1:25" ht="16" hidden="1" customHeight="1">
      <c r="A550" s="51"/>
      <c r="B550" s="59"/>
      <c r="C550" s="59"/>
      <c r="D550" s="59"/>
      <c r="E550" s="59"/>
      <c r="F550" s="59"/>
      <c r="G550" s="59"/>
      <c r="Y550" s="329"/>
    </row>
    <row r="551" spans="1:25" ht="16" hidden="1" customHeight="1">
      <c r="A551" s="51"/>
      <c r="B551" s="59"/>
      <c r="C551" s="59"/>
      <c r="D551" s="59"/>
      <c r="E551" s="59"/>
      <c r="F551" s="59"/>
      <c r="G551" s="59"/>
      <c r="Y551" s="329"/>
    </row>
    <row r="552" spans="1:25" ht="16" hidden="1" customHeight="1">
      <c r="A552" s="51"/>
      <c r="B552" s="59"/>
      <c r="C552" s="59"/>
      <c r="D552" s="59"/>
      <c r="E552" s="59"/>
      <c r="F552" s="59"/>
      <c r="G552" s="59"/>
      <c r="Y552" s="329"/>
    </row>
    <row r="553" spans="1:25" ht="16" hidden="1" customHeight="1">
      <c r="A553" s="51"/>
      <c r="B553" s="59"/>
      <c r="C553" s="59"/>
      <c r="D553" s="59"/>
      <c r="E553" s="59"/>
      <c r="F553" s="59"/>
      <c r="G553" s="59"/>
      <c r="Y553" s="329"/>
    </row>
    <row r="554" spans="1:25" ht="16" hidden="1" customHeight="1">
      <c r="A554" s="51"/>
      <c r="B554" s="59"/>
      <c r="C554" s="59"/>
      <c r="D554" s="59"/>
      <c r="E554" s="59"/>
      <c r="F554" s="59"/>
      <c r="G554" s="59"/>
      <c r="Y554" s="329"/>
    </row>
    <row r="555" spans="1:25" ht="16" hidden="1" customHeight="1">
      <c r="A555" s="51"/>
      <c r="B555" s="59"/>
      <c r="C555" s="59"/>
      <c r="D555" s="59"/>
      <c r="E555" s="59"/>
      <c r="F555" s="59"/>
      <c r="G555" s="59"/>
      <c r="Y555" s="329"/>
    </row>
    <row r="556" spans="1:25" ht="16" hidden="1" customHeight="1">
      <c r="A556" s="51"/>
      <c r="B556" s="59"/>
      <c r="C556" s="59"/>
      <c r="D556" s="59"/>
      <c r="E556" s="59"/>
      <c r="F556" s="59"/>
      <c r="G556" s="59"/>
      <c r="Y556" s="329"/>
    </row>
    <row r="557" spans="1:25" ht="16" hidden="1" customHeight="1">
      <c r="A557" s="51"/>
      <c r="B557" s="59"/>
      <c r="C557" s="59"/>
      <c r="D557" s="59"/>
      <c r="E557" s="59"/>
      <c r="F557" s="59"/>
      <c r="G557" s="59"/>
      <c r="Y557" s="329"/>
    </row>
    <row r="558" spans="1:25" ht="16" hidden="1" customHeight="1">
      <c r="A558" s="51"/>
      <c r="B558" s="59"/>
      <c r="C558" s="59"/>
      <c r="D558" s="59"/>
      <c r="E558" s="59"/>
      <c r="F558" s="59"/>
      <c r="G558" s="59"/>
      <c r="Y558" s="329"/>
    </row>
    <row r="559" spans="1:25" ht="16" hidden="1" customHeight="1">
      <c r="A559" s="51"/>
      <c r="B559" s="59"/>
      <c r="C559" s="59"/>
      <c r="D559" s="59"/>
      <c r="E559" s="59"/>
      <c r="F559" s="59"/>
      <c r="G559" s="59"/>
      <c r="Y559" s="329"/>
    </row>
    <row r="560" spans="1:25" ht="16" hidden="1" customHeight="1">
      <c r="A560" s="51"/>
      <c r="B560" s="59"/>
      <c r="C560" s="59"/>
      <c r="D560" s="59"/>
      <c r="E560" s="59"/>
      <c r="F560" s="59"/>
      <c r="G560" s="59"/>
      <c r="Y560" s="329"/>
    </row>
    <row r="561" spans="1:25" ht="16" hidden="1" customHeight="1">
      <c r="A561" s="51"/>
      <c r="B561" s="59"/>
      <c r="C561" s="59"/>
      <c r="D561" s="59"/>
      <c r="E561" s="59"/>
      <c r="F561" s="59"/>
      <c r="G561" s="59"/>
      <c r="Y561" s="329"/>
    </row>
    <row r="562" spans="1:25" ht="16" hidden="1" customHeight="1">
      <c r="A562" s="51"/>
      <c r="B562" s="59"/>
      <c r="C562" s="59"/>
      <c r="D562" s="59"/>
      <c r="E562" s="59"/>
      <c r="F562" s="59"/>
      <c r="G562" s="59"/>
      <c r="Y562" s="329"/>
    </row>
    <row r="563" spans="1:25" ht="16" hidden="1" customHeight="1">
      <c r="A563" s="51"/>
      <c r="B563" s="59"/>
      <c r="C563" s="59"/>
      <c r="D563" s="59"/>
      <c r="E563" s="59"/>
      <c r="F563" s="59"/>
      <c r="G563" s="59"/>
      <c r="Y563" s="329"/>
    </row>
    <row r="564" spans="1:25" ht="16" hidden="1" customHeight="1">
      <c r="A564" s="51"/>
      <c r="B564" s="59"/>
      <c r="C564" s="59"/>
      <c r="D564" s="59"/>
      <c r="E564" s="59"/>
      <c r="F564" s="59"/>
      <c r="G564" s="59"/>
      <c r="Y564" s="329"/>
    </row>
    <row r="565" spans="1:25" ht="16" hidden="1" customHeight="1">
      <c r="A565" s="51"/>
      <c r="B565" s="59"/>
      <c r="C565" s="59"/>
      <c r="D565" s="59"/>
      <c r="E565" s="59"/>
      <c r="F565" s="59"/>
      <c r="G565" s="59"/>
      <c r="Y565" s="329"/>
    </row>
    <row r="566" spans="1:25" ht="16" hidden="1" customHeight="1">
      <c r="A566" s="51"/>
      <c r="B566" s="59"/>
      <c r="C566" s="59"/>
      <c r="D566" s="59"/>
      <c r="E566" s="59"/>
      <c r="F566" s="59"/>
      <c r="G566" s="59"/>
      <c r="Y566" s="329"/>
    </row>
    <row r="567" spans="1:25" ht="16" hidden="1" customHeight="1">
      <c r="A567" s="51"/>
      <c r="B567" s="59"/>
      <c r="C567" s="59"/>
      <c r="D567" s="59"/>
      <c r="E567" s="59"/>
      <c r="F567" s="59"/>
      <c r="G567" s="59"/>
      <c r="Y567" s="329"/>
    </row>
    <row r="568" spans="1:25" ht="16" hidden="1" customHeight="1">
      <c r="A568" s="51"/>
      <c r="B568" s="59"/>
      <c r="C568" s="59"/>
      <c r="D568" s="59"/>
      <c r="E568" s="59"/>
      <c r="F568" s="59"/>
      <c r="G568" s="59"/>
      <c r="Y568" s="329"/>
    </row>
    <row r="569" spans="1:25" ht="16" hidden="1" customHeight="1">
      <c r="A569" s="51"/>
      <c r="B569" s="59"/>
      <c r="C569" s="59"/>
      <c r="D569" s="59"/>
      <c r="E569" s="59"/>
      <c r="F569" s="59"/>
      <c r="G569" s="59"/>
      <c r="Y569" s="329"/>
    </row>
    <row r="570" spans="1:25" ht="16" hidden="1" customHeight="1">
      <c r="A570" s="51"/>
      <c r="B570" s="59"/>
      <c r="C570" s="59"/>
      <c r="D570" s="59"/>
      <c r="E570" s="59"/>
      <c r="F570" s="59"/>
      <c r="G570" s="59"/>
      <c r="Y570" s="329"/>
    </row>
    <row r="571" spans="1:25" ht="16" hidden="1" customHeight="1">
      <c r="A571" s="51"/>
      <c r="B571" s="59"/>
      <c r="C571" s="59"/>
      <c r="D571" s="59"/>
      <c r="E571" s="59"/>
      <c r="F571" s="59"/>
      <c r="G571" s="59"/>
      <c r="Y571" s="329"/>
    </row>
    <row r="572" spans="1:25" ht="16" hidden="1" customHeight="1">
      <c r="A572" s="51"/>
      <c r="B572" s="59"/>
      <c r="C572" s="59"/>
      <c r="D572" s="59"/>
      <c r="E572" s="59"/>
      <c r="F572" s="59"/>
      <c r="G572" s="59"/>
      <c r="Y572" s="329"/>
    </row>
    <row r="573" spans="1:25" ht="16" hidden="1" customHeight="1">
      <c r="A573" s="51"/>
      <c r="B573" s="59"/>
      <c r="C573" s="59"/>
      <c r="D573" s="59"/>
      <c r="E573" s="59"/>
      <c r="F573" s="59"/>
      <c r="G573" s="59"/>
      <c r="Y573" s="329"/>
    </row>
    <row r="574" spans="1:25" ht="16" hidden="1" customHeight="1">
      <c r="A574" s="51"/>
      <c r="B574" s="59"/>
      <c r="C574" s="59"/>
      <c r="D574" s="59"/>
      <c r="E574" s="59"/>
      <c r="F574" s="59"/>
      <c r="G574" s="59"/>
      <c r="Y574" s="329"/>
    </row>
    <row r="575" spans="1:25" ht="16" hidden="1" customHeight="1">
      <c r="A575" s="51"/>
      <c r="B575" s="59"/>
      <c r="C575" s="59"/>
      <c r="D575" s="59"/>
      <c r="E575" s="59"/>
      <c r="F575" s="59"/>
      <c r="G575" s="59"/>
      <c r="Y575" s="329"/>
    </row>
    <row r="576" spans="1:25" ht="16" hidden="1" customHeight="1">
      <c r="A576" s="51"/>
      <c r="B576" s="59"/>
      <c r="C576" s="59"/>
      <c r="D576" s="59"/>
      <c r="E576" s="59"/>
      <c r="F576" s="59"/>
      <c r="G576" s="59"/>
      <c r="Y576" s="329"/>
    </row>
    <row r="577" spans="1:25" ht="16" hidden="1" customHeight="1">
      <c r="A577" s="51"/>
      <c r="B577" s="59"/>
      <c r="C577" s="59"/>
      <c r="D577" s="59"/>
      <c r="E577" s="59"/>
      <c r="F577" s="59"/>
      <c r="G577" s="59"/>
      <c r="Y577" s="329"/>
    </row>
    <row r="578" spans="1:25" ht="16" hidden="1" customHeight="1">
      <c r="A578" s="51"/>
      <c r="B578" s="59"/>
      <c r="C578" s="59"/>
      <c r="D578" s="59"/>
      <c r="E578" s="59"/>
      <c r="F578" s="59"/>
      <c r="G578" s="59"/>
      <c r="Y578" s="329"/>
    </row>
    <row r="579" spans="1:25" ht="16" hidden="1" customHeight="1">
      <c r="A579" s="51"/>
      <c r="B579" s="59"/>
      <c r="C579" s="59"/>
      <c r="D579" s="59"/>
      <c r="E579" s="59"/>
      <c r="F579" s="59"/>
      <c r="G579" s="59"/>
      <c r="Y579" s="329"/>
    </row>
    <row r="580" spans="1:25" ht="16" hidden="1" customHeight="1">
      <c r="A580" s="51"/>
      <c r="B580" s="59"/>
      <c r="C580" s="59"/>
      <c r="D580" s="59"/>
      <c r="E580" s="59"/>
      <c r="F580" s="59"/>
      <c r="G580" s="59"/>
      <c r="Y580" s="329"/>
    </row>
    <row r="581" spans="1:25" ht="16" hidden="1" customHeight="1">
      <c r="A581" s="51"/>
      <c r="B581" s="59"/>
      <c r="C581" s="59"/>
      <c r="D581" s="59"/>
      <c r="E581" s="59"/>
      <c r="F581" s="59"/>
      <c r="G581" s="59"/>
      <c r="Y581" s="329"/>
    </row>
    <row r="582" spans="1:25" ht="16" hidden="1" customHeight="1">
      <c r="A582" s="51"/>
      <c r="B582" s="59"/>
      <c r="C582" s="59"/>
      <c r="D582" s="59"/>
      <c r="E582" s="59"/>
      <c r="F582" s="59"/>
      <c r="G582" s="59"/>
      <c r="Y582" s="329"/>
    </row>
    <row r="583" spans="1:25" ht="16" hidden="1" customHeight="1">
      <c r="A583" s="51"/>
      <c r="B583" s="59"/>
      <c r="C583" s="59"/>
      <c r="D583" s="59"/>
      <c r="E583" s="59"/>
      <c r="F583" s="59"/>
      <c r="G583" s="59"/>
      <c r="Y583" s="329"/>
    </row>
    <row r="584" spans="1:25" ht="16" hidden="1" customHeight="1">
      <c r="A584" s="51"/>
      <c r="B584" s="59"/>
      <c r="C584" s="59"/>
      <c r="D584" s="59"/>
      <c r="E584" s="59"/>
      <c r="F584" s="59"/>
      <c r="G584" s="59"/>
      <c r="Y584" s="329"/>
    </row>
    <row r="585" spans="1:25" ht="16" hidden="1" customHeight="1">
      <c r="A585" s="51"/>
      <c r="B585" s="59"/>
      <c r="C585" s="59"/>
      <c r="D585" s="59"/>
      <c r="E585" s="59"/>
      <c r="F585" s="59"/>
      <c r="G585" s="59"/>
      <c r="Y585" s="329"/>
    </row>
    <row r="586" spans="1:25" ht="16" hidden="1" customHeight="1">
      <c r="A586" s="51"/>
      <c r="B586" s="59"/>
      <c r="C586" s="59"/>
      <c r="D586" s="59"/>
      <c r="E586" s="59"/>
      <c r="F586" s="59"/>
      <c r="G586" s="59"/>
      <c r="Y586" s="329"/>
    </row>
    <row r="587" spans="1:25" ht="16" hidden="1" customHeight="1">
      <c r="A587" s="51"/>
      <c r="B587" s="59"/>
      <c r="C587" s="59"/>
      <c r="D587" s="59"/>
      <c r="E587" s="59"/>
      <c r="F587" s="59"/>
      <c r="G587" s="59"/>
      <c r="Y587" s="329"/>
    </row>
    <row r="588" spans="1:25" ht="16" hidden="1" customHeight="1">
      <c r="A588" s="51"/>
      <c r="B588" s="59"/>
      <c r="C588" s="59"/>
      <c r="D588" s="59"/>
      <c r="E588" s="59"/>
      <c r="F588" s="59"/>
      <c r="G588" s="59"/>
      <c r="Y588" s="329"/>
    </row>
    <row r="589" spans="1:25" ht="16" hidden="1" customHeight="1">
      <c r="A589" s="51"/>
      <c r="B589" s="59"/>
      <c r="C589" s="59"/>
      <c r="D589" s="59"/>
      <c r="E589" s="59"/>
      <c r="F589" s="59"/>
      <c r="G589" s="59"/>
      <c r="Y589" s="329"/>
    </row>
    <row r="590" spans="1:25" ht="16" hidden="1" customHeight="1">
      <c r="A590" s="51"/>
      <c r="B590" s="59"/>
      <c r="C590" s="59"/>
      <c r="D590" s="59"/>
      <c r="E590" s="59"/>
      <c r="F590" s="59"/>
      <c r="G590" s="59"/>
      <c r="Y590" s="329"/>
    </row>
    <row r="591" spans="1:25" ht="16" hidden="1" customHeight="1">
      <c r="A591" s="51"/>
      <c r="B591" s="59"/>
      <c r="C591" s="59"/>
      <c r="D591" s="59"/>
      <c r="E591" s="59"/>
      <c r="F591" s="59"/>
      <c r="G591" s="59"/>
      <c r="Y591" s="329"/>
    </row>
    <row r="592" spans="1:25" ht="16" hidden="1" customHeight="1">
      <c r="A592" s="51"/>
      <c r="B592" s="59"/>
      <c r="C592" s="59"/>
      <c r="D592" s="59"/>
      <c r="E592" s="59"/>
      <c r="F592" s="59"/>
      <c r="G592" s="59"/>
      <c r="Y592" s="329"/>
    </row>
    <row r="593" spans="1:25" ht="16" hidden="1" customHeight="1">
      <c r="A593" s="51"/>
      <c r="B593" s="59"/>
      <c r="C593" s="59"/>
      <c r="D593" s="59"/>
      <c r="E593" s="59"/>
      <c r="F593" s="59"/>
      <c r="G593" s="59"/>
      <c r="Y593" s="329"/>
    </row>
    <row r="594" spans="1:25" ht="16" hidden="1" customHeight="1">
      <c r="A594" s="51"/>
      <c r="B594" s="59"/>
      <c r="C594" s="59"/>
      <c r="D594" s="59"/>
      <c r="E594" s="59"/>
      <c r="F594" s="59"/>
      <c r="G594" s="59"/>
      <c r="Y594" s="329"/>
    </row>
    <row r="595" spans="1:25" ht="16" hidden="1" customHeight="1">
      <c r="A595" s="51"/>
      <c r="B595" s="59"/>
      <c r="C595" s="59"/>
      <c r="D595" s="59"/>
      <c r="E595" s="59"/>
      <c r="F595" s="59"/>
      <c r="G595" s="59"/>
      <c r="Y595" s="329"/>
    </row>
    <row r="596" spans="1:25" ht="16" hidden="1" customHeight="1">
      <c r="A596" s="51"/>
      <c r="B596" s="59"/>
      <c r="C596" s="59"/>
      <c r="D596" s="59"/>
      <c r="E596" s="59"/>
      <c r="F596" s="59"/>
      <c r="G596" s="59"/>
      <c r="Y596" s="329"/>
    </row>
    <row r="597" spans="1:25" ht="16" hidden="1" customHeight="1">
      <c r="A597" s="51"/>
      <c r="B597" s="59"/>
      <c r="C597" s="59"/>
      <c r="D597" s="59"/>
      <c r="E597" s="59"/>
      <c r="F597" s="59"/>
      <c r="G597" s="59"/>
      <c r="Y597" s="329"/>
    </row>
    <row r="598" spans="1:25" ht="16" hidden="1" customHeight="1">
      <c r="A598" s="51"/>
      <c r="B598" s="59"/>
      <c r="C598" s="59"/>
      <c r="D598" s="59"/>
      <c r="E598" s="59"/>
      <c r="F598" s="59"/>
      <c r="G598" s="59"/>
      <c r="Y598" s="329"/>
    </row>
    <row r="599" spans="1:25" ht="16" hidden="1" customHeight="1">
      <c r="A599" s="51"/>
      <c r="B599" s="59"/>
      <c r="C599" s="59"/>
      <c r="D599" s="59"/>
      <c r="E599" s="59"/>
      <c r="F599" s="59"/>
      <c r="G599" s="59"/>
      <c r="Y599" s="329"/>
    </row>
    <row r="600" spans="1:25" ht="16" hidden="1" customHeight="1">
      <c r="A600" s="51"/>
      <c r="B600" s="59"/>
      <c r="C600" s="59"/>
      <c r="D600" s="59"/>
      <c r="E600" s="59"/>
      <c r="F600" s="59"/>
      <c r="G600" s="59"/>
      <c r="Y600" s="329"/>
    </row>
    <row r="601" spans="1:25" ht="16" hidden="1" customHeight="1">
      <c r="A601" s="51"/>
      <c r="B601" s="59"/>
      <c r="C601" s="59"/>
      <c r="D601" s="59"/>
      <c r="E601" s="59"/>
      <c r="F601" s="59"/>
      <c r="G601" s="59"/>
      <c r="Y601" s="329"/>
    </row>
    <row r="602" spans="1:25" ht="16" hidden="1" customHeight="1">
      <c r="A602" s="51"/>
      <c r="B602" s="59"/>
      <c r="C602" s="59"/>
      <c r="D602" s="59"/>
      <c r="E602" s="59"/>
      <c r="F602" s="59"/>
      <c r="G602" s="59"/>
      <c r="Y602" s="329"/>
    </row>
    <row r="603" spans="1:25" ht="16" hidden="1" customHeight="1">
      <c r="A603" s="51"/>
      <c r="B603" s="59"/>
      <c r="C603" s="59"/>
      <c r="D603" s="59"/>
      <c r="E603" s="59"/>
      <c r="F603" s="59"/>
      <c r="G603" s="59"/>
      <c r="Y603" s="329"/>
    </row>
    <row r="604" spans="1:25" ht="16" hidden="1" customHeight="1">
      <c r="A604" s="51"/>
      <c r="B604" s="59"/>
      <c r="C604" s="59"/>
      <c r="D604" s="59"/>
      <c r="E604" s="59"/>
      <c r="F604" s="59"/>
      <c r="G604" s="59"/>
      <c r="Y604" s="329"/>
    </row>
    <row r="605" spans="1:25" ht="16" hidden="1" customHeight="1">
      <c r="A605" s="51"/>
      <c r="B605" s="59"/>
      <c r="C605" s="59"/>
      <c r="D605" s="59"/>
      <c r="E605" s="59"/>
      <c r="F605" s="59"/>
      <c r="G605" s="59"/>
      <c r="Y605" s="329"/>
    </row>
    <row r="606" spans="1:25" ht="16" hidden="1" customHeight="1">
      <c r="A606" s="51"/>
      <c r="B606" s="59"/>
      <c r="C606" s="59"/>
      <c r="D606" s="59"/>
      <c r="E606" s="59"/>
      <c r="F606" s="59"/>
      <c r="G606" s="59"/>
      <c r="Y606" s="329"/>
    </row>
    <row r="607" spans="1:25" ht="16" hidden="1" customHeight="1">
      <c r="A607" s="51"/>
      <c r="B607" s="59"/>
      <c r="C607" s="59"/>
      <c r="D607" s="59"/>
      <c r="E607" s="59"/>
      <c r="F607" s="59"/>
      <c r="G607" s="59"/>
      <c r="Y607" s="329"/>
    </row>
    <row r="608" spans="1:25" ht="16" hidden="1" customHeight="1">
      <c r="A608" s="51"/>
      <c r="B608" s="59"/>
      <c r="C608" s="59"/>
      <c r="D608" s="59"/>
      <c r="E608" s="59"/>
      <c r="F608" s="59"/>
      <c r="G608" s="59"/>
      <c r="Y608" s="329"/>
    </row>
    <row r="609" spans="1:25" ht="16" hidden="1" customHeight="1">
      <c r="A609" s="51"/>
      <c r="B609" s="59"/>
      <c r="C609" s="59"/>
      <c r="D609" s="59"/>
      <c r="E609" s="59"/>
      <c r="F609" s="59"/>
      <c r="G609" s="59"/>
      <c r="Y609" s="329"/>
    </row>
    <row r="610" spans="1:25" ht="16" hidden="1" customHeight="1">
      <c r="A610" s="51"/>
      <c r="B610" s="59"/>
      <c r="C610" s="59"/>
      <c r="D610" s="59"/>
      <c r="E610" s="59"/>
      <c r="F610" s="59"/>
      <c r="G610" s="59"/>
      <c r="Y610" s="329"/>
    </row>
    <row r="611" spans="1:25" ht="16" hidden="1" customHeight="1">
      <c r="A611" s="51"/>
      <c r="B611" s="59"/>
      <c r="C611" s="59"/>
      <c r="D611" s="59"/>
      <c r="E611" s="59"/>
      <c r="F611" s="59"/>
      <c r="G611" s="59"/>
      <c r="Y611" s="329"/>
    </row>
    <row r="612" spans="1:25" ht="16" hidden="1" customHeight="1">
      <c r="A612" s="51"/>
      <c r="B612" s="59"/>
      <c r="C612" s="59"/>
      <c r="D612" s="59"/>
      <c r="E612" s="59"/>
      <c r="F612" s="59"/>
      <c r="G612" s="59"/>
      <c r="Y612" s="329"/>
    </row>
    <row r="613" spans="1:25" ht="16" hidden="1" customHeight="1">
      <c r="A613" s="51"/>
      <c r="B613" s="59"/>
      <c r="C613" s="59"/>
      <c r="D613" s="59"/>
      <c r="E613" s="59"/>
      <c r="F613" s="59"/>
      <c r="G613" s="59"/>
      <c r="Y613" s="329"/>
    </row>
    <row r="614" spans="1:25" ht="16" hidden="1" customHeight="1">
      <c r="A614" s="51"/>
      <c r="B614" s="59"/>
      <c r="C614" s="59"/>
      <c r="D614" s="59"/>
      <c r="E614" s="59"/>
      <c r="F614" s="59"/>
      <c r="G614" s="59"/>
      <c r="Y614" s="329"/>
    </row>
    <row r="615" spans="1:25" ht="16" hidden="1" customHeight="1">
      <c r="A615" s="51"/>
      <c r="B615" s="59"/>
      <c r="C615" s="59"/>
      <c r="D615" s="59"/>
      <c r="E615" s="59"/>
      <c r="F615" s="59"/>
      <c r="G615" s="59"/>
      <c r="Y615" s="329"/>
    </row>
    <row r="616" spans="1:25" ht="16" hidden="1" customHeight="1">
      <c r="A616" s="51"/>
      <c r="B616" s="59"/>
      <c r="C616" s="59"/>
      <c r="D616" s="59"/>
      <c r="E616" s="59"/>
      <c r="F616" s="59"/>
      <c r="G616" s="59"/>
      <c r="Y616" s="329"/>
    </row>
    <row r="617" spans="1:25" ht="16" hidden="1" customHeight="1">
      <c r="A617" s="51"/>
      <c r="B617" s="59"/>
      <c r="C617" s="59"/>
      <c r="D617" s="59"/>
      <c r="E617" s="59"/>
      <c r="F617" s="59"/>
      <c r="G617" s="59"/>
      <c r="Y617" s="329"/>
    </row>
    <row r="618" spans="1:25" ht="16" hidden="1" customHeight="1">
      <c r="A618" s="51"/>
      <c r="B618" s="59"/>
      <c r="C618" s="59"/>
      <c r="D618" s="59"/>
      <c r="E618" s="59"/>
      <c r="F618" s="59"/>
      <c r="G618" s="59"/>
      <c r="Y618" s="329"/>
    </row>
    <row r="619" spans="1:25" ht="16" hidden="1" customHeight="1">
      <c r="A619" s="51"/>
      <c r="B619" s="59"/>
      <c r="C619" s="59"/>
      <c r="D619" s="59"/>
      <c r="E619" s="59"/>
      <c r="F619" s="59"/>
      <c r="G619" s="59"/>
      <c r="Y619" s="329"/>
    </row>
    <row r="620" spans="1:25" ht="16" hidden="1" customHeight="1">
      <c r="A620" s="51"/>
      <c r="B620" s="59"/>
      <c r="C620" s="59"/>
      <c r="D620" s="59"/>
      <c r="E620" s="59"/>
      <c r="F620" s="59"/>
      <c r="G620" s="59"/>
      <c r="Y620" s="329"/>
    </row>
    <row r="621" spans="1:25" ht="16" hidden="1" customHeight="1">
      <c r="A621" s="51"/>
      <c r="B621" s="59"/>
      <c r="C621" s="59"/>
      <c r="D621" s="59"/>
      <c r="E621" s="59"/>
      <c r="F621" s="59"/>
      <c r="G621" s="59"/>
      <c r="Y621" s="329"/>
    </row>
    <row r="622" spans="1:25" ht="16" hidden="1" customHeight="1">
      <c r="A622" s="51"/>
      <c r="B622" s="59"/>
      <c r="C622" s="59"/>
      <c r="D622" s="59"/>
      <c r="E622" s="59"/>
      <c r="F622" s="59"/>
      <c r="G622" s="59"/>
      <c r="Y622" s="329"/>
    </row>
    <row r="623" spans="1:25" ht="16" hidden="1" customHeight="1">
      <c r="A623" s="51"/>
      <c r="B623" s="59"/>
      <c r="C623" s="59"/>
      <c r="D623" s="59"/>
      <c r="E623" s="59"/>
      <c r="F623" s="59"/>
      <c r="G623" s="59"/>
      <c r="Y623" s="329"/>
    </row>
    <row r="624" spans="1:25" ht="16" hidden="1" customHeight="1">
      <c r="A624" s="51"/>
      <c r="B624" s="59"/>
      <c r="C624" s="59"/>
      <c r="D624" s="59"/>
      <c r="E624" s="59"/>
      <c r="F624" s="59"/>
      <c r="G624" s="59"/>
      <c r="Y624" s="329"/>
    </row>
    <row r="625" spans="1:25" ht="16" hidden="1" customHeight="1">
      <c r="A625" s="51"/>
      <c r="B625" s="59"/>
      <c r="C625" s="59"/>
      <c r="D625" s="59"/>
      <c r="E625" s="59"/>
      <c r="F625" s="59"/>
      <c r="G625" s="59"/>
      <c r="Y625" s="329"/>
    </row>
    <row r="626" spans="1:25" ht="16" hidden="1" customHeight="1">
      <c r="A626" s="51"/>
      <c r="B626" s="59"/>
      <c r="C626" s="59"/>
      <c r="D626" s="59"/>
      <c r="E626" s="59"/>
      <c r="F626" s="59"/>
      <c r="G626" s="59"/>
      <c r="Y626" s="329"/>
    </row>
    <row r="627" spans="1:25" ht="16" hidden="1" customHeight="1">
      <c r="A627" s="51"/>
      <c r="B627" s="59"/>
      <c r="C627" s="59"/>
      <c r="D627" s="59"/>
      <c r="E627" s="59"/>
      <c r="F627" s="59"/>
      <c r="G627" s="59"/>
      <c r="Y627" s="329"/>
    </row>
    <row r="628" spans="1:25" ht="16" hidden="1" customHeight="1">
      <c r="A628" s="51"/>
      <c r="B628" s="59"/>
      <c r="C628" s="59"/>
      <c r="D628" s="59"/>
      <c r="E628" s="59"/>
      <c r="F628" s="59"/>
      <c r="G628" s="59"/>
      <c r="Y628" s="329"/>
    </row>
    <row r="629" spans="1:25" ht="16" hidden="1" customHeight="1">
      <c r="A629" s="51"/>
      <c r="B629" s="59"/>
      <c r="C629" s="59"/>
      <c r="D629" s="59"/>
      <c r="E629" s="59"/>
      <c r="F629" s="59"/>
      <c r="G629" s="59"/>
      <c r="Y629" s="329"/>
    </row>
    <row r="630" spans="1:25" ht="16" hidden="1" customHeight="1">
      <c r="A630" s="51"/>
      <c r="B630" s="59"/>
      <c r="C630" s="59"/>
      <c r="D630" s="59"/>
      <c r="E630" s="59"/>
      <c r="F630" s="59"/>
      <c r="G630" s="59"/>
      <c r="Y630" s="329"/>
    </row>
    <row r="631" spans="1:25" ht="16" hidden="1" customHeight="1">
      <c r="A631" s="51"/>
      <c r="B631" s="59"/>
      <c r="C631" s="59"/>
      <c r="D631" s="59"/>
      <c r="E631" s="59"/>
      <c r="F631" s="59"/>
      <c r="G631" s="59"/>
      <c r="Y631" s="329"/>
    </row>
    <row r="632" spans="1:25" ht="16" hidden="1" customHeight="1">
      <c r="A632" s="51"/>
      <c r="B632" s="59"/>
      <c r="C632" s="59"/>
      <c r="D632" s="59"/>
      <c r="E632" s="59"/>
      <c r="F632" s="59"/>
      <c r="G632" s="59"/>
      <c r="Y632" s="329"/>
    </row>
    <row r="633" spans="1:25" ht="16" hidden="1" customHeight="1">
      <c r="A633" s="51"/>
      <c r="B633" s="59"/>
      <c r="C633" s="59"/>
      <c r="D633" s="59"/>
      <c r="E633" s="59"/>
      <c r="F633" s="59"/>
      <c r="G633" s="59"/>
      <c r="Y633" s="329"/>
    </row>
    <row r="634" spans="1:25" ht="16" hidden="1" customHeight="1">
      <c r="A634" s="51"/>
      <c r="B634" s="59"/>
      <c r="C634" s="59"/>
      <c r="D634" s="59"/>
      <c r="E634" s="59"/>
      <c r="F634" s="59"/>
      <c r="G634" s="59"/>
      <c r="Y634" s="329"/>
    </row>
    <row r="635" spans="1:25" ht="16" hidden="1" customHeight="1">
      <c r="A635" s="51"/>
      <c r="B635" s="59"/>
      <c r="C635" s="59"/>
      <c r="D635" s="59"/>
      <c r="E635" s="59"/>
      <c r="F635" s="59"/>
      <c r="G635" s="59"/>
      <c r="Y635" s="329"/>
    </row>
    <row r="636" spans="1:25" ht="16" hidden="1" customHeight="1">
      <c r="A636" s="51"/>
      <c r="B636" s="59"/>
      <c r="C636" s="59"/>
      <c r="D636" s="59"/>
      <c r="E636" s="59"/>
      <c r="F636" s="59"/>
      <c r="G636" s="59"/>
      <c r="Y636" s="329"/>
    </row>
    <row r="637" spans="1:25" ht="16" hidden="1" customHeight="1">
      <c r="A637" s="51"/>
      <c r="B637" s="59"/>
      <c r="C637" s="59"/>
      <c r="D637" s="59"/>
      <c r="E637" s="59"/>
      <c r="F637" s="59"/>
      <c r="G637" s="59"/>
      <c r="Y637" s="329"/>
    </row>
    <row r="638" spans="1:25" ht="16" hidden="1" customHeight="1">
      <c r="A638" s="51"/>
      <c r="B638" s="59"/>
      <c r="C638" s="59"/>
      <c r="D638" s="59"/>
      <c r="E638" s="59"/>
      <c r="F638" s="59"/>
      <c r="G638" s="59"/>
      <c r="Y638" s="329"/>
    </row>
    <row r="639" spans="1:25" ht="16" hidden="1" customHeight="1">
      <c r="A639" s="51"/>
      <c r="B639" s="59"/>
      <c r="C639" s="59"/>
      <c r="D639" s="59"/>
      <c r="E639" s="59"/>
      <c r="F639" s="59"/>
      <c r="G639" s="59"/>
      <c r="Y639" s="329"/>
    </row>
    <row r="640" spans="1:25" ht="16" hidden="1" customHeight="1">
      <c r="A640" s="51"/>
      <c r="B640" s="59"/>
      <c r="C640" s="59"/>
      <c r="D640" s="59"/>
      <c r="E640" s="59"/>
      <c r="F640" s="59"/>
      <c r="G640" s="59"/>
      <c r="Y640" s="329"/>
    </row>
    <row r="641" spans="1:25" ht="16" hidden="1" customHeight="1">
      <c r="A641" s="51"/>
      <c r="B641" s="59"/>
      <c r="C641" s="59"/>
      <c r="D641" s="59"/>
      <c r="E641" s="59"/>
      <c r="F641" s="59"/>
      <c r="G641" s="59"/>
      <c r="Y641" s="329"/>
    </row>
    <row r="642" spans="1:25" ht="16" hidden="1" customHeight="1">
      <c r="A642" s="51"/>
      <c r="B642" s="59"/>
      <c r="C642" s="59"/>
      <c r="D642" s="59"/>
      <c r="E642" s="59"/>
      <c r="F642" s="59"/>
      <c r="G642" s="59"/>
      <c r="Y642" s="329"/>
    </row>
    <row r="643" spans="1:25" ht="16" hidden="1" customHeight="1">
      <c r="A643" s="51"/>
      <c r="B643" s="59"/>
      <c r="C643" s="59"/>
      <c r="D643" s="59"/>
      <c r="E643" s="59"/>
      <c r="F643" s="59"/>
      <c r="G643" s="59"/>
      <c r="Y643" s="329"/>
    </row>
    <row r="644" spans="1:25" ht="16" hidden="1" customHeight="1">
      <c r="A644" s="51"/>
      <c r="B644" s="59"/>
      <c r="C644" s="59"/>
      <c r="D644" s="59"/>
      <c r="E644" s="59"/>
      <c r="F644" s="59"/>
      <c r="G644" s="59"/>
      <c r="Y644" s="329"/>
    </row>
    <row r="645" spans="1:25" ht="16" hidden="1" customHeight="1">
      <c r="A645" s="51"/>
      <c r="B645" s="59"/>
      <c r="C645" s="59"/>
      <c r="D645" s="59"/>
      <c r="E645" s="59"/>
      <c r="F645" s="59"/>
      <c r="G645" s="59"/>
      <c r="Y645" s="329"/>
    </row>
    <row r="646" spans="1:25" ht="16" hidden="1" customHeight="1">
      <c r="A646" s="51"/>
      <c r="B646" s="59"/>
      <c r="C646" s="59"/>
      <c r="D646" s="59"/>
      <c r="E646" s="59"/>
      <c r="F646" s="59"/>
      <c r="G646" s="59"/>
      <c r="Y646" s="329"/>
    </row>
    <row r="647" spans="1:25" ht="16" hidden="1" customHeight="1">
      <c r="A647" s="51"/>
      <c r="B647" s="59"/>
      <c r="C647" s="59"/>
      <c r="D647" s="59"/>
      <c r="E647" s="59"/>
      <c r="F647" s="59"/>
      <c r="G647" s="59"/>
      <c r="Y647" s="329"/>
    </row>
    <row r="648" spans="1:25" ht="16" hidden="1" customHeight="1">
      <c r="A648" s="51"/>
      <c r="B648" s="59"/>
      <c r="C648" s="59"/>
      <c r="D648" s="59"/>
      <c r="E648" s="59"/>
      <c r="F648" s="59"/>
      <c r="G648" s="59"/>
      <c r="Y648" s="329"/>
    </row>
    <row r="649" spans="1:25" ht="16" hidden="1" customHeight="1">
      <c r="A649" s="51"/>
      <c r="B649" s="59"/>
      <c r="C649" s="59"/>
      <c r="D649" s="59"/>
      <c r="E649" s="59"/>
      <c r="F649" s="59"/>
      <c r="G649" s="59"/>
      <c r="Y649" s="329"/>
    </row>
    <row r="650" spans="1:25" ht="16" hidden="1" customHeight="1">
      <c r="A650" s="51"/>
      <c r="B650" s="59"/>
      <c r="C650" s="59"/>
      <c r="D650" s="59"/>
      <c r="E650" s="59"/>
      <c r="F650" s="59"/>
      <c r="G650" s="59"/>
      <c r="Y650" s="329"/>
    </row>
    <row r="651" spans="1:25" ht="16" hidden="1" customHeight="1">
      <c r="A651" s="51"/>
      <c r="B651" s="59"/>
      <c r="C651" s="59"/>
      <c r="D651" s="59"/>
      <c r="E651" s="59"/>
      <c r="F651" s="59"/>
      <c r="G651" s="59"/>
      <c r="Y651" s="329"/>
    </row>
    <row r="652" spans="1:25" ht="16" hidden="1" customHeight="1">
      <c r="A652" s="51"/>
      <c r="B652" s="59"/>
      <c r="C652" s="59"/>
      <c r="D652" s="59"/>
      <c r="E652" s="59"/>
      <c r="F652" s="59"/>
      <c r="G652" s="59"/>
      <c r="Y652" s="329"/>
    </row>
    <row r="653" spans="1:25" ht="16" hidden="1" customHeight="1">
      <c r="A653" s="51"/>
      <c r="B653" s="59"/>
      <c r="C653" s="59"/>
      <c r="D653" s="59"/>
      <c r="E653" s="59"/>
      <c r="F653" s="59"/>
      <c r="G653" s="59"/>
      <c r="Y653" s="329"/>
    </row>
    <row r="654" spans="1:25" ht="16" hidden="1" customHeight="1">
      <c r="A654" s="51"/>
      <c r="B654" s="59"/>
      <c r="C654" s="59"/>
      <c r="D654" s="59"/>
      <c r="E654" s="59"/>
      <c r="F654" s="59"/>
      <c r="G654" s="59"/>
      <c r="Y654" s="329"/>
    </row>
    <row r="655" spans="1:25" ht="16" hidden="1" customHeight="1">
      <c r="A655" s="51"/>
      <c r="B655" s="59"/>
      <c r="C655" s="59"/>
      <c r="D655" s="59"/>
      <c r="E655" s="59"/>
      <c r="F655" s="59"/>
      <c r="G655" s="59"/>
      <c r="Y655" s="329"/>
    </row>
    <row r="656" spans="1:25" ht="16" hidden="1" customHeight="1">
      <c r="A656" s="51"/>
      <c r="B656" s="59"/>
      <c r="C656" s="59"/>
      <c r="D656" s="59"/>
      <c r="E656" s="59"/>
      <c r="F656" s="59"/>
      <c r="G656" s="59"/>
      <c r="Y656" s="329"/>
    </row>
    <row r="657" spans="1:25" ht="16" hidden="1" customHeight="1">
      <c r="A657" s="51"/>
      <c r="B657" s="59"/>
      <c r="C657" s="59"/>
      <c r="D657" s="59"/>
      <c r="E657" s="59"/>
      <c r="F657" s="59"/>
      <c r="G657" s="59"/>
      <c r="Y657" s="329"/>
    </row>
    <row r="658" spans="1:25" ht="16" hidden="1" customHeight="1">
      <c r="A658" s="51"/>
      <c r="B658" s="59"/>
      <c r="C658" s="59"/>
      <c r="D658" s="59"/>
      <c r="E658" s="59"/>
      <c r="F658" s="59"/>
      <c r="G658" s="59"/>
      <c r="Y658" s="329"/>
    </row>
    <row r="659" spans="1:25" ht="16" hidden="1" customHeight="1">
      <c r="A659" s="51"/>
      <c r="B659" s="59"/>
      <c r="C659" s="59"/>
      <c r="D659" s="59"/>
      <c r="E659" s="59"/>
      <c r="F659" s="59"/>
      <c r="G659" s="59"/>
      <c r="Y659" s="329"/>
    </row>
    <row r="660" spans="1:25" ht="16" hidden="1" customHeight="1">
      <c r="A660" s="51"/>
      <c r="B660" s="59"/>
      <c r="C660" s="59"/>
      <c r="D660" s="59"/>
      <c r="E660" s="59"/>
      <c r="F660" s="59"/>
      <c r="G660" s="59"/>
      <c r="Y660" s="329"/>
    </row>
    <row r="661" spans="1:25" ht="16" hidden="1" customHeight="1">
      <c r="A661" s="51"/>
      <c r="B661" s="59"/>
      <c r="C661" s="59"/>
      <c r="D661" s="59"/>
      <c r="E661" s="59"/>
      <c r="F661" s="59"/>
      <c r="G661" s="59"/>
      <c r="Y661" s="329"/>
    </row>
    <row r="662" spans="1:25" ht="16" hidden="1" customHeight="1">
      <c r="A662" s="51"/>
      <c r="B662" s="59"/>
      <c r="C662" s="59"/>
      <c r="D662" s="59"/>
      <c r="E662" s="59"/>
      <c r="F662" s="59"/>
      <c r="G662" s="59"/>
      <c r="Y662" s="329"/>
    </row>
    <row r="663" spans="1:25" ht="16" hidden="1" customHeight="1">
      <c r="A663" s="51"/>
      <c r="B663" s="59"/>
      <c r="C663" s="59"/>
      <c r="D663" s="59"/>
      <c r="E663" s="59"/>
      <c r="F663" s="59"/>
      <c r="G663" s="59"/>
      <c r="Y663" s="329"/>
    </row>
    <row r="664" spans="1:25" ht="16" hidden="1" customHeight="1">
      <c r="A664" s="51"/>
      <c r="B664" s="59"/>
      <c r="C664" s="59"/>
      <c r="D664" s="59"/>
      <c r="E664" s="59"/>
      <c r="F664" s="59"/>
      <c r="G664" s="59"/>
      <c r="Y664" s="329"/>
    </row>
    <row r="665" spans="1:25" ht="16" hidden="1" customHeight="1">
      <c r="A665" s="51"/>
      <c r="B665" s="59"/>
      <c r="C665" s="59"/>
      <c r="D665" s="59"/>
      <c r="E665" s="59"/>
      <c r="F665" s="59"/>
      <c r="G665" s="59"/>
      <c r="Y665" s="329"/>
    </row>
    <row r="666" spans="1:25" ht="16" hidden="1" customHeight="1">
      <c r="A666" s="51"/>
      <c r="B666" s="59"/>
      <c r="C666" s="59"/>
      <c r="D666" s="59"/>
      <c r="E666" s="59"/>
      <c r="F666" s="59"/>
      <c r="G666" s="59"/>
      <c r="Y666" s="329"/>
    </row>
    <row r="667" spans="1:25" ht="16" hidden="1" customHeight="1">
      <c r="A667" s="51"/>
      <c r="B667" s="59"/>
      <c r="C667" s="59"/>
      <c r="D667" s="59"/>
      <c r="E667" s="59"/>
      <c r="F667" s="59"/>
      <c r="G667" s="59"/>
      <c r="Y667" s="329"/>
    </row>
    <row r="668" spans="1:25" ht="16" hidden="1" customHeight="1">
      <c r="A668" s="51"/>
      <c r="B668" s="59"/>
      <c r="C668" s="59"/>
      <c r="D668" s="59"/>
      <c r="E668" s="59"/>
      <c r="F668" s="59"/>
      <c r="G668" s="59"/>
      <c r="Y668" s="329"/>
    </row>
    <row r="669" spans="1:25" ht="16" hidden="1" customHeight="1">
      <c r="A669" s="51"/>
      <c r="B669" s="59"/>
      <c r="C669" s="59"/>
      <c r="D669" s="59"/>
      <c r="E669" s="59"/>
      <c r="F669" s="59"/>
      <c r="G669" s="59"/>
      <c r="Y669" s="329"/>
    </row>
    <row r="670" spans="1:25" ht="16" hidden="1" customHeight="1">
      <c r="A670" s="51"/>
      <c r="B670" s="59"/>
      <c r="C670" s="59"/>
      <c r="D670" s="59"/>
      <c r="E670" s="59"/>
      <c r="F670" s="59"/>
      <c r="G670" s="59"/>
      <c r="Y670" s="329"/>
    </row>
    <row r="671" spans="1:25" ht="16" hidden="1" customHeight="1">
      <c r="A671" s="51"/>
      <c r="B671" s="59"/>
      <c r="C671" s="59"/>
      <c r="D671" s="59"/>
      <c r="E671" s="59"/>
      <c r="F671" s="59"/>
      <c r="G671" s="59"/>
      <c r="Y671" s="329"/>
    </row>
    <row r="672" spans="1:25" ht="16" hidden="1" customHeight="1">
      <c r="A672" s="51"/>
      <c r="B672" s="59"/>
      <c r="C672" s="59"/>
      <c r="D672" s="59"/>
      <c r="E672" s="59"/>
      <c r="F672" s="59"/>
      <c r="G672" s="59"/>
      <c r="Y672" s="329"/>
    </row>
    <row r="673" spans="1:25" ht="16" hidden="1" customHeight="1">
      <c r="A673" s="51"/>
      <c r="B673" s="59"/>
      <c r="C673" s="59"/>
      <c r="D673" s="59"/>
      <c r="E673" s="59"/>
      <c r="F673" s="59"/>
      <c r="G673" s="59"/>
      <c r="Y673" s="329"/>
    </row>
    <row r="674" spans="1:25" ht="16" hidden="1" customHeight="1">
      <c r="A674" s="51"/>
      <c r="B674" s="59"/>
      <c r="C674" s="59"/>
      <c r="D674" s="59"/>
      <c r="E674" s="59"/>
      <c r="F674" s="59"/>
      <c r="G674" s="59"/>
      <c r="Y674" s="329"/>
    </row>
    <row r="675" spans="1:25" ht="16" hidden="1" customHeight="1">
      <c r="A675" s="51"/>
      <c r="B675" s="59"/>
      <c r="C675" s="59"/>
      <c r="D675" s="59"/>
      <c r="E675" s="59"/>
      <c r="F675" s="59"/>
      <c r="G675" s="59"/>
      <c r="Y675" s="329"/>
    </row>
    <row r="676" spans="1:25" ht="16" hidden="1" customHeight="1">
      <c r="A676" s="51"/>
      <c r="B676" s="59"/>
      <c r="C676" s="59"/>
      <c r="D676" s="59"/>
      <c r="E676" s="59"/>
      <c r="F676" s="59"/>
      <c r="G676" s="59"/>
      <c r="Y676" s="329"/>
    </row>
    <row r="677" spans="1:25" ht="16" hidden="1" customHeight="1">
      <c r="A677" s="51"/>
      <c r="B677" s="59"/>
      <c r="C677" s="59"/>
      <c r="D677" s="59"/>
      <c r="E677" s="59"/>
      <c r="F677" s="59"/>
      <c r="G677" s="59"/>
      <c r="Y677" s="329"/>
    </row>
    <row r="678" spans="1:25" ht="16" hidden="1" customHeight="1">
      <c r="A678" s="51"/>
      <c r="B678" s="59"/>
      <c r="C678" s="59"/>
      <c r="D678" s="59"/>
      <c r="E678" s="59"/>
      <c r="F678" s="59"/>
      <c r="G678" s="59"/>
      <c r="Y678" s="329"/>
    </row>
    <row r="679" spans="1:25" ht="16" hidden="1" customHeight="1">
      <c r="A679" s="51"/>
      <c r="B679" s="59"/>
      <c r="C679" s="59"/>
      <c r="D679" s="59"/>
      <c r="E679" s="59"/>
      <c r="F679" s="59"/>
      <c r="G679" s="59"/>
      <c r="Y679" s="329"/>
    </row>
    <row r="680" spans="1:25" ht="16" hidden="1" customHeight="1">
      <c r="A680" s="51"/>
      <c r="B680" s="59"/>
      <c r="C680" s="59"/>
      <c r="D680" s="59"/>
      <c r="E680" s="59"/>
      <c r="F680" s="59"/>
      <c r="G680" s="59"/>
      <c r="Y680" s="329"/>
    </row>
    <row r="681" spans="1:25" ht="16" hidden="1" customHeight="1">
      <c r="A681" s="51"/>
      <c r="B681" s="59"/>
      <c r="C681" s="59"/>
      <c r="D681" s="59"/>
      <c r="E681" s="59"/>
      <c r="F681" s="59"/>
      <c r="G681" s="59"/>
      <c r="Y681" s="329"/>
    </row>
    <row r="682" spans="1:25" ht="16" hidden="1" customHeight="1">
      <c r="A682" s="51"/>
      <c r="B682" s="59"/>
      <c r="C682" s="59"/>
      <c r="D682" s="59"/>
      <c r="E682" s="59"/>
      <c r="F682" s="59"/>
      <c r="G682" s="59"/>
      <c r="Y682" s="329"/>
    </row>
    <row r="683" spans="1:25" ht="16" hidden="1" customHeight="1">
      <c r="A683" s="51"/>
      <c r="B683" s="59"/>
      <c r="C683" s="59"/>
      <c r="D683" s="59"/>
      <c r="E683" s="59"/>
      <c r="F683" s="59"/>
      <c r="G683" s="59"/>
      <c r="Y683" s="329"/>
    </row>
    <row r="684" spans="1:25" ht="16" hidden="1" customHeight="1">
      <c r="A684" s="51"/>
      <c r="B684" s="59"/>
      <c r="C684" s="59"/>
      <c r="D684" s="59"/>
      <c r="E684" s="59"/>
      <c r="F684" s="59"/>
      <c r="G684" s="59"/>
      <c r="Y684" s="329"/>
    </row>
    <row r="685" spans="1:25" ht="16" hidden="1" customHeight="1">
      <c r="A685" s="51"/>
      <c r="B685" s="59"/>
      <c r="C685" s="59"/>
      <c r="D685" s="59"/>
      <c r="E685" s="59"/>
      <c r="F685" s="59"/>
      <c r="G685" s="59"/>
      <c r="Y685" s="329"/>
    </row>
    <row r="686" spans="1:25" ht="16" hidden="1" customHeight="1">
      <c r="A686" s="51"/>
      <c r="B686" s="59"/>
      <c r="C686" s="59"/>
      <c r="D686" s="59"/>
      <c r="E686" s="59"/>
      <c r="F686" s="59"/>
      <c r="G686" s="59"/>
      <c r="Y686" s="329"/>
    </row>
    <row r="687" spans="1:25" ht="16" hidden="1" customHeight="1">
      <c r="A687" s="51"/>
      <c r="B687" s="59"/>
      <c r="C687" s="59"/>
      <c r="D687" s="59"/>
      <c r="E687" s="59"/>
      <c r="F687" s="59"/>
      <c r="G687" s="59"/>
      <c r="Y687" s="329"/>
    </row>
    <row r="688" spans="1:25" ht="16" hidden="1" customHeight="1">
      <c r="A688" s="51"/>
      <c r="B688" s="59"/>
      <c r="C688" s="59"/>
      <c r="D688" s="59"/>
      <c r="E688" s="59"/>
      <c r="F688" s="59"/>
      <c r="G688" s="59"/>
      <c r="Y688" s="329"/>
    </row>
    <row r="689" spans="1:25" ht="16" hidden="1" customHeight="1">
      <c r="A689" s="51"/>
      <c r="B689" s="59"/>
      <c r="C689" s="59"/>
      <c r="D689" s="59"/>
      <c r="E689" s="59"/>
      <c r="F689" s="59"/>
      <c r="G689" s="59"/>
      <c r="Y689" s="329"/>
    </row>
    <row r="690" spans="1:25" ht="16" hidden="1" customHeight="1">
      <c r="A690" s="51"/>
      <c r="B690" s="59"/>
      <c r="C690" s="59"/>
      <c r="D690" s="59"/>
      <c r="E690" s="59"/>
      <c r="F690" s="59"/>
      <c r="G690" s="59"/>
      <c r="Y690" s="329"/>
    </row>
    <row r="691" spans="1:25" ht="16" hidden="1" customHeight="1">
      <c r="A691" s="51"/>
      <c r="B691" s="59"/>
      <c r="C691" s="59"/>
      <c r="D691" s="59"/>
      <c r="E691" s="59"/>
      <c r="F691" s="59"/>
      <c r="G691" s="59"/>
      <c r="Y691" s="329"/>
    </row>
    <row r="692" spans="1:25" ht="16" hidden="1" customHeight="1">
      <c r="A692" s="51"/>
      <c r="B692" s="59"/>
      <c r="C692" s="59"/>
      <c r="D692" s="59"/>
      <c r="E692" s="59"/>
      <c r="F692" s="59"/>
      <c r="G692" s="59"/>
      <c r="Y692" s="329"/>
    </row>
    <row r="693" spans="1:25" ht="16" hidden="1" customHeight="1">
      <c r="A693" s="51"/>
      <c r="B693" s="59"/>
      <c r="C693" s="59"/>
      <c r="D693" s="59"/>
      <c r="E693" s="59"/>
      <c r="F693" s="59"/>
      <c r="G693" s="59"/>
      <c r="Y693" s="329"/>
    </row>
    <row r="694" spans="1:25" ht="16" hidden="1" customHeight="1">
      <c r="A694" s="51"/>
      <c r="B694" s="59"/>
      <c r="C694" s="59"/>
      <c r="D694" s="59"/>
      <c r="E694" s="59"/>
      <c r="F694" s="59"/>
      <c r="G694" s="59"/>
      <c r="Y694" s="329"/>
    </row>
    <row r="695" spans="1:25" ht="16" hidden="1" customHeight="1">
      <c r="A695" s="51"/>
      <c r="B695" s="59"/>
      <c r="C695" s="59"/>
      <c r="D695" s="59"/>
      <c r="E695" s="59"/>
      <c r="F695" s="59"/>
      <c r="G695" s="59"/>
      <c r="Y695" s="329"/>
    </row>
    <row r="696" spans="1:25" ht="16" hidden="1" customHeight="1">
      <c r="A696" s="51"/>
      <c r="B696" s="59"/>
      <c r="C696" s="59"/>
      <c r="D696" s="59"/>
      <c r="E696" s="59"/>
      <c r="F696" s="59"/>
      <c r="G696" s="59"/>
      <c r="Y696" s="329"/>
    </row>
    <row r="697" spans="1:25" ht="16" hidden="1" customHeight="1">
      <c r="A697" s="51"/>
      <c r="B697" s="59"/>
      <c r="C697" s="59"/>
      <c r="D697" s="59"/>
      <c r="E697" s="59"/>
      <c r="F697" s="59"/>
      <c r="G697" s="59"/>
      <c r="Y697" s="329"/>
    </row>
    <row r="698" spans="1:25" ht="16" hidden="1" customHeight="1">
      <c r="A698" s="51"/>
      <c r="B698" s="59"/>
      <c r="C698" s="59"/>
      <c r="D698" s="59"/>
      <c r="E698" s="59"/>
      <c r="F698" s="59"/>
      <c r="G698" s="59"/>
      <c r="Y698" s="329"/>
    </row>
    <row r="699" spans="1:25" ht="16" hidden="1" customHeight="1">
      <c r="A699" s="51"/>
      <c r="B699" s="59"/>
      <c r="C699" s="59"/>
      <c r="D699" s="59"/>
      <c r="E699" s="59"/>
      <c r="F699" s="59"/>
      <c r="G699" s="59"/>
      <c r="Y699" s="329"/>
    </row>
    <row r="700" spans="1:25" ht="16" hidden="1" customHeight="1">
      <c r="A700" s="51"/>
      <c r="B700" s="59"/>
      <c r="C700" s="59"/>
      <c r="D700" s="59"/>
      <c r="E700" s="59"/>
      <c r="F700" s="59"/>
      <c r="G700" s="59"/>
      <c r="Y700" s="329"/>
    </row>
    <row r="701" spans="1:25" ht="16" hidden="1" customHeight="1">
      <c r="A701" s="51"/>
      <c r="B701" s="59"/>
      <c r="C701" s="59"/>
      <c r="D701" s="59"/>
      <c r="E701" s="59"/>
      <c r="F701" s="59"/>
      <c r="G701" s="59"/>
      <c r="Y701" s="329"/>
    </row>
    <row r="702" spans="1:25" ht="16" hidden="1" customHeight="1">
      <c r="A702" s="51"/>
      <c r="B702" s="59"/>
      <c r="C702" s="59"/>
      <c r="D702" s="59"/>
      <c r="E702" s="59"/>
      <c r="F702" s="59"/>
      <c r="G702" s="59"/>
      <c r="Y702" s="329"/>
    </row>
    <row r="703" spans="1:25" ht="16" hidden="1" customHeight="1">
      <c r="A703" s="51"/>
      <c r="B703" s="59"/>
      <c r="C703" s="59"/>
      <c r="D703" s="59"/>
      <c r="E703" s="59"/>
      <c r="F703" s="59"/>
      <c r="G703" s="59"/>
      <c r="Y703" s="329"/>
    </row>
    <row r="704" spans="1:25" ht="16" hidden="1" customHeight="1">
      <c r="A704" s="51"/>
      <c r="B704" s="59"/>
      <c r="C704" s="59"/>
      <c r="D704" s="59"/>
      <c r="E704" s="59"/>
      <c r="F704" s="59"/>
      <c r="G704" s="59"/>
      <c r="Y704" s="329"/>
    </row>
    <row r="705" spans="1:25" ht="16" hidden="1" customHeight="1">
      <c r="A705" s="51"/>
      <c r="B705" s="59"/>
      <c r="C705" s="59"/>
      <c r="D705" s="59"/>
      <c r="E705" s="59"/>
      <c r="F705" s="59"/>
      <c r="G705" s="59"/>
      <c r="Y705" s="329"/>
    </row>
    <row r="706" spans="1:25" ht="16" hidden="1" customHeight="1">
      <c r="A706" s="51"/>
      <c r="B706" s="59"/>
      <c r="C706" s="59"/>
      <c r="D706" s="59"/>
      <c r="E706" s="59"/>
      <c r="F706" s="59"/>
      <c r="G706" s="59"/>
      <c r="Y706" s="329"/>
    </row>
    <row r="707" spans="1:25" ht="16" hidden="1" customHeight="1">
      <c r="A707" s="51"/>
      <c r="B707" s="59"/>
      <c r="C707" s="59"/>
      <c r="D707" s="59"/>
      <c r="E707" s="59"/>
      <c r="F707" s="59"/>
      <c r="G707" s="59"/>
      <c r="Y707" s="329"/>
    </row>
    <row r="708" spans="1:25" ht="16" hidden="1" customHeight="1">
      <c r="A708" s="51"/>
      <c r="B708" s="59"/>
      <c r="C708" s="59"/>
      <c r="D708" s="59"/>
      <c r="E708" s="59"/>
      <c r="F708" s="59"/>
      <c r="G708" s="59"/>
      <c r="Y708" s="329"/>
    </row>
    <row r="709" spans="1:25" ht="16" hidden="1" customHeight="1">
      <c r="A709" s="51"/>
      <c r="B709" s="59"/>
      <c r="C709" s="59"/>
      <c r="D709" s="59"/>
      <c r="E709" s="59"/>
      <c r="F709" s="59"/>
      <c r="G709" s="59"/>
      <c r="Y709" s="329"/>
    </row>
    <row r="710" spans="1:25" ht="16" hidden="1" customHeight="1">
      <c r="A710" s="51"/>
      <c r="B710" s="59"/>
      <c r="C710" s="59"/>
      <c r="D710" s="59"/>
      <c r="E710" s="59"/>
      <c r="F710" s="59"/>
      <c r="G710" s="59"/>
      <c r="Y710" s="329"/>
    </row>
    <row r="711" spans="1:25" ht="16" hidden="1" customHeight="1">
      <c r="A711" s="51"/>
      <c r="B711" s="59"/>
      <c r="C711" s="59"/>
      <c r="D711" s="59"/>
      <c r="E711" s="59"/>
      <c r="F711" s="59"/>
      <c r="G711" s="59"/>
      <c r="Y711" s="329"/>
    </row>
    <row r="712" spans="1:25" ht="16" hidden="1" customHeight="1">
      <c r="A712" s="51"/>
      <c r="B712" s="59"/>
      <c r="C712" s="59"/>
      <c r="D712" s="59"/>
      <c r="E712" s="59"/>
      <c r="F712" s="59"/>
      <c r="G712" s="59"/>
      <c r="Y712" s="329"/>
    </row>
    <row r="713" spans="1:25" ht="16" hidden="1" customHeight="1">
      <c r="A713" s="51"/>
      <c r="B713" s="59"/>
      <c r="C713" s="59"/>
      <c r="D713" s="59"/>
      <c r="E713" s="59"/>
      <c r="F713" s="59"/>
      <c r="G713" s="59"/>
      <c r="Y713" s="329"/>
    </row>
    <row r="714" spans="1:25" ht="16" hidden="1" customHeight="1">
      <c r="A714" s="51"/>
      <c r="B714" s="59"/>
      <c r="C714" s="59"/>
      <c r="D714" s="59"/>
      <c r="E714" s="59"/>
      <c r="F714" s="59"/>
      <c r="G714" s="59"/>
      <c r="Y714" s="329"/>
    </row>
    <row r="715" spans="1:25" ht="16" hidden="1" customHeight="1">
      <c r="A715" s="51"/>
      <c r="B715" s="59"/>
      <c r="C715" s="59"/>
      <c r="D715" s="59"/>
      <c r="E715" s="59"/>
      <c r="F715" s="59"/>
      <c r="G715" s="59"/>
      <c r="Y715" s="329"/>
    </row>
    <row r="716" spans="1:25" ht="16" hidden="1" customHeight="1">
      <c r="A716" s="51"/>
      <c r="B716" s="59"/>
      <c r="C716" s="59"/>
      <c r="D716" s="59"/>
      <c r="E716" s="59"/>
      <c r="F716" s="59"/>
      <c r="G716" s="59"/>
      <c r="Y716" s="329"/>
    </row>
    <row r="717" spans="1:25" ht="16" hidden="1" customHeight="1">
      <c r="A717" s="51"/>
      <c r="B717" s="59"/>
      <c r="C717" s="59"/>
      <c r="D717" s="59"/>
      <c r="E717" s="59"/>
      <c r="F717" s="59"/>
      <c r="G717" s="59"/>
      <c r="Y717" s="329"/>
    </row>
    <row r="718" spans="1:25" ht="16" hidden="1" customHeight="1">
      <c r="A718" s="51"/>
      <c r="B718" s="59"/>
      <c r="C718" s="59"/>
      <c r="D718" s="59"/>
      <c r="E718" s="59"/>
      <c r="F718" s="59"/>
      <c r="G718" s="59"/>
      <c r="Y718" s="329"/>
    </row>
    <row r="719" spans="1:25" ht="16" hidden="1" customHeight="1">
      <c r="A719" s="51"/>
      <c r="B719" s="59"/>
      <c r="C719" s="59"/>
      <c r="D719" s="59"/>
      <c r="E719" s="59"/>
      <c r="F719" s="59"/>
      <c r="G719" s="59"/>
      <c r="Y719" s="329"/>
    </row>
    <row r="720" spans="1:25" ht="16" hidden="1" customHeight="1">
      <c r="A720" s="51"/>
      <c r="B720" s="59"/>
      <c r="C720" s="59"/>
      <c r="D720" s="59"/>
      <c r="E720" s="59"/>
      <c r="F720" s="59"/>
      <c r="G720" s="59"/>
      <c r="Y720" s="329"/>
    </row>
    <row r="721" spans="1:25" ht="16" hidden="1" customHeight="1">
      <c r="A721" s="51"/>
      <c r="B721" s="59"/>
      <c r="C721" s="59"/>
      <c r="D721" s="59"/>
      <c r="E721" s="59"/>
      <c r="F721" s="59"/>
      <c r="G721" s="59"/>
      <c r="Y721" s="329"/>
    </row>
    <row r="722" spans="1:25" ht="16" hidden="1" customHeight="1">
      <c r="A722" s="51"/>
      <c r="B722" s="59"/>
      <c r="C722" s="59"/>
      <c r="D722" s="59"/>
      <c r="E722" s="59"/>
      <c r="F722" s="59"/>
      <c r="G722" s="59"/>
      <c r="Y722" s="329"/>
    </row>
    <row r="723" spans="1:25" ht="16" hidden="1" customHeight="1">
      <c r="A723" s="51"/>
      <c r="B723" s="59"/>
      <c r="C723" s="59"/>
      <c r="D723" s="59"/>
      <c r="E723" s="59"/>
      <c r="F723" s="59"/>
      <c r="G723" s="59"/>
      <c r="Y723" s="329"/>
    </row>
    <row r="724" spans="1:25" ht="16" hidden="1" customHeight="1">
      <c r="A724" s="51"/>
      <c r="B724" s="59"/>
      <c r="C724" s="59"/>
      <c r="D724" s="59"/>
      <c r="E724" s="59"/>
      <c r="F724" s="59"/>
      <c r="G724" s="59"/>
      <c r="Y724" s="329"/>
    </row>
    <row r="725" spans="1:25" ht="16" hidden="1" customHeight="1">
      <c r="A725" s="51"/>
      <c r="B725" s="59"/>
      <c r="C725" s="59"/>
      <c r="D725" s="59"/>
      <c r="E725" s="59"/>
      <c r="F725" s="59"/>
      <c r="G725" s="59"/>
      <c r="Y725" s="329"/>
    </row>
    <row r="726" spans="1:25" ht="16" hidden="1" customHeight="1">
      <c r="A726" s="51"/>
      <c r="B726" s="59"/>
      <c r="C726" s="59"/>
      <c r="D726" s="59"/>
      <c r="E726" s="59"/>
      <c r="F726" s="59"/>
      <c r="G726" s="59"/>
      <c r="Y726" s="329"/>
    </row>
    <row r="727" spans="1:25" ht="16" hidden="1" customHeight="1">
      <c r="A727" s="51"/>
      <c r="B727" s="59"/>
      <c r="C727" s="59"/>
      <c r="D727" s="59"/>
      <c r="E727" s="59"/>
      <c r="F727" s="59"/>
      <c r="G727" s="59"/>
      <c r="Y727" s="329"/>
    </row>
    <row r="728" spans="1:25" ht="16" hidden="1" customHeight="1">
      <c r="A728" s="51"/>
      <c r="B728" s="59"/>
      <c r="C728" s="59"/>
      <c r="D728" s="59"/>
      <c r="E728" s="59"/>
      <c r="F728" s="59"/>
      <c r="G728" s="59"/>
      <c r="Y728" s="329"/>
    </row>
    <row r="729" spans="1:25" ht="16" hidden="1" customHeight="1">
      <c r="A729" s="51"/>
      <c r="B729" s="59"/>
      <c r="C729" s="59"/>
      <c r="D729" s="59"/>
      <c r="E729" s="59"/>
      <c r="F729" s="59"/>
      <c r="G729" s="59"/>
      <c r="Y729" s="329"/>
    </row>
    <row r="730" spans="1:25" ht="16" hidden="1" customHeight="1">
      <c r="A730" s="51"/>
      <c r="B730" s="59"/>
      <c r="C730" s="59"/>
      <c r="D730" s="59"/>
      <c r="E730" s="59"/>
      <c r="F730" s="59"/>
      <c r="G730" s="59"/>
      <c r="Y730" s="329"/>
    </row>
    <row r="731" spans="1:25" ht="16" hidden="1" customHeight="1">
      <c r="A731" s="51"/>
      <c r="B731" s="59"/>
      <c r="C731" s="59"/>
      <c r="D731" s="59"/>
      <c r="E731" s="59"/>
      <c r="F731" s="59"/>
      <c r="G731" s="59"/>
      <c r="Y731" s="329"/>
    </row>
    <row r="732" spans="1:25" ht="16" hidden="1" customHeight="1">
      <c r="A732" s="51"/>
      <c r="B732" s="59"/>
      <c r="C732" s="59"/>
      <c r="D732" s="59"/>
      <c r="E732" s="59"/>
      <c r="F732" s="59"/>
      <c r="G732" s="59"/>
      <c r="Y732" s="329"/>
    </row>
    <row r="733" spans="1:25" ht="16" hidden="1" customHeight="1">
      <c r="A733" s="51"/>
      <c r="B733" s="59"/>
      <c r="C733" s="59"/>
      <c r="D733" s="59"/>
      <c r="E733" s="59"/>
      <c r="F733" s="59"/>
      <c r="G733" s="59"/>
      <c r="Y733" s="329"/>
    </row>
    <row r="734" spans="1:25" ht="16" hidden="1" customHeight="1">
      <c r="A734" s="51"/>
      <c r="B734" s="59"/>
      <c r="C734" s="59"/>
      <c r="D734" s="59"/>
      <c r="E734" s="59"/>
      <c r="F734" s="59"/>
      <c r="G734" s="59"/>
      <c r="Y734" s="329"/>
    </row>
    <row r="735" spans="1:25" ht="16" hidden="1" customHeight="1">
      <c r="A735" s="51"/>
      <c r="B735" s="59"/>
      <c r="C735" s="59"/>
      <c r="D735" s="59"/>
      <c r="E735" s="59"/>
      <c r="F735" s="59"/>
      <c r="G735" s="59"/>
      <c r="Y735" s="329"/>
    </row>
    <row r="736" spans="1:25" ht="16" hidden="1" customHeight="1">
      <c r="A736" s="51"/>
      <c r="B736" s="59"/>
      <c r="C736" s="59"/>
      <c r="D736" s="59"/>
      <c r="E736" s="59"/>
      <c r="F736" s="59"/>
      <c r="G736" s="59"/>
      <c r="Y736" s="329"/>
    </row>
    <row r="737" spans="1:25" ht="16" hidden="1" customHeight="1">
      <c r="A737" s="51"/>
      <c r="B737" s="59"/>
      <c r="C737" s="59"/>
      <c r="D737" s="59"/>
      <c r="E737" s="59"/>
      <c r="F737" s="59"/>
      <c r="G737" s="59"/>
      <c r="Y737" s="329"/>
    </row>
    <row r="738" spans="1:25" ht="16" hidden="1" customHeight="1">
      <c r="A738" s="51"/>
      <c r="B738" s="59"/>
      <c r="C738" s="59"/>
      <c r="D738" s="59"/>
      <c r="E738" s="59"/>
      <c r="F738" s="59"/>
      <c r="G738" s="59"/>
      <c r="Y738" s="329"/>
    </row>
    <row r="739" spans="1:25" ht="16" hidden="1" customHeight="1">
      <c r="A739" s="51"/>
      <c r="B739" s="59"/>
      <c r="C739" s="59"/>
      <c r="D739" s="59"/>
      <c r="E739" s="59"/>
      <c r="F739" s="59"/>
      <c r="G739" s="59"/>
      <c r="Y739" s="329"/>
    </row>
    <row r="740" spans="1:25" ht="16" hidden="1" customHeight="1">
      <c r="A740" s="51"/>
      <c r="B740" s="59"/>
      <c r="C740" s="59"/>
      <c r="D740" s="59"/>
      <c r="E740" s="59"/>
      <c r="F740" s="59"/>
      <c r="G740" s="59"/>
      <c r="Y740" s="329"/>
    </row>
    <row r="741" spans="1:25" ht="16" hidden="1" customHeight="1">
      <c r="A741" s="51"/>
      <c r="B741" s="59"/>
      <c r="C741" s="59"/>
      <c r="D741" s="59"/>
      <c r="E741" s="59"/>
      <c r="F741" s="59"/>
      <c r="G741" s="59"/>
      <c r="Y741" s="329"/>
    </row>
    <row r="742" spans="1:25" ht="16" hidden="1" customHeight="1">
      <c r="A742" s="51"/>
      <c r="B742" s="59"/>
      <c r="C742" s="59"/>
      <c r="D742" s="59"/>
      <c r="E742" s="59"/>
      <c r="F742" s="59"/>
      <c r="G742" s="59"/>
      <c r="Y742" s="329"/>
    </row>
    <row r="743" spans="1:25" ht="16" hidden="1" customHeight="1">
      <c r="A743" s="51"/>
      <c r="B743" s="59"/>
      <c r="C743" s="59"/>
      <c r="D743" s="59"/>
      <c r="E743" s="59"/>
      <c r="F743" s="59"/>
      <c r="G743" s="59"/>
      <c r="Y743" s="329"/>
    </row>
    <row r="744" spans="1:25" ht="16" hidden="1" customHeight="1">
      <c r="A744" s="51"/>
      <c r="B744" s="59"/>
      <c r="C744" s="59"/>
      <c r="D744" s="59"/>
      <c r="E744" s="59"/>
      <c r="F744" s="59"/>
      <c r="G744" s="59"/>
      <c r="Y744" s="329"/>
    </row>
    <row r="745" spans="1:25" ht="16" hidden="1" customHeight="1">
      <c r="A745" s="51"/>
      <c r="B745" s="59"/>
      <c r="C745" s="59"/>
      <c r="D745" s="59"/>
      <c r="E745" s="59"/>
      <c r="F745" s="59"/>
      <c r="G745" s="59"/>
      <c r="Y745" s="329"/>
    </row>
    <row r="746" spans="1:25" ht="16" hidden="1" customHeight="1">
      <c r="A746" s="51"/>
      <c r="B746" s="59"/>
      <c r="C746" s="59"/>
      <c r="D746" s="59"/>
      <c r="E746" s="59"/>
      <c r="F746" s="59"/>
      <c r="G746" s="59"/>
      <c r="Y746" s="329"/>
    </row>
    <row r="747" spans="1:25" ht="16" hidden="1" customHeight="1">
      <c r="A747" s="51"/>
      <c r="B747" s="59"/>
      <c r="C747" s="59"/>
      <c r="D747" s="59"/>
      <c r="E747" s="59"/>
      <c r="F747" s="59"/>
      <c r="G747" s="59"/>
      <c r="Y747" s="329"/>
    </row>
    <row r="748" spans="1:25" ht="16" hidden="1" customHeight="1">
      <c r="A748" s="51"/>
      <c r="B748" s="59"/>
      <c r="C748" s="59"/>
      <c r="D748" s="59"/>
      <c r="E748" s="59"/>
      <c r="F748" s="59"/>
      <c r="G748" s="59"/>
      <c r="Y748" s="329"/>
    </row>
    <row r="749" spans="1:25" ht="16" hidden="1" customHeight="1">
      <c r="A749" s="51"/>
      <c r="B749" s="59"/>
      <c r="C749" s="59"/>
      <c r="D749" s="59"/>
      <c r="E749" s="59"/>
      <c r="F749" s="59"/>
      <c r="G749" s="59"/>
      <c r="Y749" s="329"/>
    </row>
    <row r="750" spans="1:25" ht="16" hidden="1" customHeight="1">
      <c r="A750" s="51"/>
      <c r="B750" s="59"/>
      <c r="C750" s="59"/>
      <c r="D750" s="59"/>
      <c r="E750" s="59"/>
      <c r="F750" s="59"/>
      <c r="G750" s="59"/>
      <c r="Y750" s="329"/>
    </row>
    <row r="751" spans="1:25" ht="16" hidden="1" customHeight="1">
      <c r="A751" s="51"/>
      <c r="B751" s="59"/>
      <c r="C751" s="59"/>
      <c r="D751" s="59"/>
      <c r="E751" s="59"/>
      <c r="F751" s="59"/>
      <c r="G751" s="59"/>
      <c r="Y751" s="329"/>
    </row>
    <row r="752" spans="1:25" ht="16" hidden="1" customHeight="1">
      <c r="A752" s="51"/>
      <c r="B752" s="59"/>
      <c r="C752" s="59"/>
      <c r="D752" s="59"/>
      <c r="E752" s="59"/>
      <c r="F752" s="59"/>
      <c r="G752" s="59"/>
      <c r="Y752" s="329"/>
    </row>
    <row r="753" spans="1:25" ht="16" hidden="1" customHeight="1">
      <c r="A753" s="51"/>
      <c r="B753" s="59"/>
      <c r="C753" s="59"/>
      <c r="D753" s="59"/>
      <c r="E753" s="59"/>
      <c r="F753" s="59"/>
      <c r="G753" s="59"/>
      <c r="Y753" s="329"/>
    </row>
    <row r="754" spans="1:25" ht="16" hidden="1" customHeight="1">
      <c r="A754" s="51"/>
      <c r="B754" s="59"/>
      <c r="C754" s="59"/>
      <c r="D754" s="59"/>
      <c r="E754" s="59"/>
      <c r="F754" s="59"/>
      <c r="G754" s="59"/>
      <c r="Y754" s="329"/>
    </row>
    <row r="755" spans="1:25" ht="16" hidden="1" customHeight="1">
      <c r="A755" s="51"/>
      <c r="B755" s="59"/>
      <c r="C755" s="59"/>
      <c r="D755" s="59"/>
      <c r="E755" s="59"/>
      <c r="F755" s="59"/>
      <c r="G755" s="59"/>
      <c r="Y755" s="329"/>
    </row>
    <row r="756" spans="1:25" ht="16" hidden="1" customHeight="1">
      <c r="A756" s="51"/>
      <c r="B756" s="59"/>
      <c r="C756" s="59"/>
      <c r="D756" s="59"/>
      <c r="E756" s="59"/>
      <c r="F756" s="59"/>
      <c r="G756" s="59"/>
      <c r="Y756" s="329"/>
    </row>
    <row r="757" spans="1:25" ht="16" hidden="1" customHeight="1">
      <c r="A757" s="51"/>
      <c r="B757" s="59"/>
      <c r="C757" s="59"/>
      <c r="D757" s="59"/>
      <c r="E757" s="59"/>
      <c r="F757" s="59"/>
      <c r="G757" s="59"/>
      <c r="Y757" s="329"/>
    </row>
    <row r="758" spans="1:25" ht="16" hidden="1" customHeight="1">
      <c r="A758" s="51"/>
      <c r="B758" s="59"/>
      <c r="C758" s="59"/>
      <c r="D758" s="59"/>
      <c r="E758" s="59"/>
      <c r="F758" s="59"/>
      <c r="G758" s="59"/>
      <c r="Y758" s="329"/>
    </row>
    <row r="759" spans="1:25" ht="16" hidden="1" customHeight="1">
      <c r="A759" s="51"/>
      <c r="B759" s="59"/>
      <c r="C759" s="59"/>
      <c r="D759" s="59"/>
      <c r="E759" s="59"/>
      <c r="F759" s="59"/>
      <c r="G759" s="59"/>
      <c r="Y759" s="329"/>
    </row>
    <row r="760" spans="1:25" ht="16" hidden="1" customHeight="1">
      <c r="A760" s="51"/>
      <c r="B760" s="59"/>
      <c r="C760" s="59"/>
      <c r="D760" s="59"/>
      <c r="E760" s="59"/>
      <c r="F760" s="59"/>
      <c r="G760" s="59"/>
      <c r="Y760" s="329"/>
    </row>
    <row r="761" spans="1:25" ht="16" hidden="1" customHeight="1">
      <c r="A761" s="51"/>
      <c r="B761" s="59"/>
      <c r="C761" s="59"/>
      <c r="D761" s="59"/>
      <c r="E761" s="59"/>
      <c r="F761" s="59"/>
      <c r="G761" s="59"/>
      <c r="Y761" s="329"/>
    </row>
    <row r="762" spans="1:25" ht="16" hidden="1" customHeight="1">
      <c r="A762" s="51"/>
      <c r="B762" s="59"/>
      <c r="C762" s="59"/>
      <c r="D762" s="59"/>
      <c r="E762" s="59"/>
      <c r="F762" s="59"/>
      <c r="G762" s="59"/>
      <c r="Y762" s="329"/>
    </row>
    <row r="763" spans="1:25" ht="16" hidden="1" customHeight="1">
      <c r="A763" s="51"/>
      <c r="B763" s="59"/>
      <c r="C763" s="59"/>
      <c r="D763" s="59"/>
      <c r="E763" s="59"/>
      <c r="F763" s="59"/>
      <c r="G763" s="59"/>
      <c r="Y763" s="329"/>
    </row>
    <row r="764" spans="1:25" ht="16" hidden="1" customHeight="1">
      <c r="A764" s="51"/>
      <c r="B764" s="59"/>
      <c r="C764" s="59"/>
      <c r="D764" s="59"/>
      <c r="E764" s="59"/>
      <c r="F764" s="59"/>
      <c r="G764" s="59"/>
      <c r="Y764" s="329"/>
    </row>
    <row r="765" spans="1:25" ht="16" hidden="1" customHeight="1">
      <c r="A765" s="51"/>
      <c r="B765" s="59"/>
      <c r="C765" s="59"/>
      <c r="D765" s="59"/>
      <c r="E765" s="59"/>
      <c r="F765" s="59"/>
      <c r="G765" s="59"/>
      <c r="Y765" s="329"/>
    </row>
    <row r="766" spans="1:25" ht="16" hidden="1" customHeight="1">
      <c r="A766" s="51"/>
      <c r="B766" s="59"/>
      <c r="C766" s="59"/>
      <c r="D766" s="59"/>
      <c r="E766" s="59"/>
      <c r="F766" s="59"/>
      <c r="G766" s="59"/>
      <c r="Y766" s="329"/>
    </row>
    <row r="767" spans="1:25" ht="16" hidden="1" customHeight="1">
      <c r="A767" s="51"/>
      <c r="B767" s="59"/>
      <c r="C767" s="59"/>
      <c r="D767" s="59"/>
      <c r="E767" s="59"/>
      <c r="F767" s="59"/>
      <c r="G767" s="59"/>
      <c r="Y767" s="329"/>
    </row>
    <row r="768" spans="1:25" ht="16" hidden="1" customHeight="1">
      <c r="A768" s="51"/>
      <c r="B768" s="59"/>
      <c r="C768" s="59"/>
      <c r="D768" s="59"/>
      <c r="E768" s="59"/>
      <c r="F768" s="59"/>
      <c r="G768" s="59"/>
      <c r="Y768" s="329"/>
    </row>
    <row r="769" spans="1:25" ht="16" hidden="1" customHeight="1">
      <c r="A769" s="51"/>
      <c r="B769" s="59"/>
      <c r="C769" s="59"/>
      <c r="D769" s="59"/>
      <c r="E769" s="59"/>
      <c r="F769" s="59"/>
      <c r="G769" s="59"/>
      <c r="Y769" s="329"/>
    </row>
    <row r="770" spans="1:25" ht="16" hidden="1" customHeight="1">
      <c r="A770" s="51"/>
      <c r="B770" s="59"/>
      <c r="C770" s="59"/>
      <c r="D770" s="59"/>
      <c r="E770" s="59"/>
      <c r="F770" s="59"/>
      <c r="G770" s="59"/>
      <c r="Y770" s="329"/>
    </row>
    <row r="771" spans="1:25" ht="16" hidden="1" customHeight="1">
      <c r="A771" s="51"/>
      <c r="B771" s="59"/>
      <c r="C771" s="59"/>
      <c r="D771" s="59"/>
      <c r="E771" s="59"/>
      <c r="F771" s="59"/>
      <c r="G771" s="59"/>
      <c r="Y771" s="329"/>
    </row>
    <row r="772" spans="1:25" ht="16" hidden="1" customHeight="1">
      <c r="A772" s="51"/>
      <c r="B772" s="59"/>
      <c r="C772" s="59"/>
      <c r="D772" s="59"/>
      <c r="E772" s="59"/>
      <c r="F772" s="59"/>
      <c r="G772" s="59"/>
      <c r="Y772" s="329"/>
    </row>
    <row r="773" spans="1:25" ht="16" hidden="1" customHeight="1">
      <c r="A773" s="51"/>
      <c r="B773" s="59"/>
      <c r="C773" s="59"/>
      <c r="D773" s="59"/>
      <c r="E773" s="59"/>
      <c r="F773" s="59"/>
      <c r="G773" s="59"/>
      <c r="Y773" s="329"/>
    </row>
    <row r="774" spans="1:25" ht="16" hidden="1" customHeight="1">
      <c r="A774" s="51"/>
      <c r="B774" s="59"/>
      <c r="C774" s="59"/>
      <c r="D774" s="59"/>
      <c r="E774" s="59"/>
      <c r="F774" s="59"/>
      <c r="G774" s="59"/>
      <c r="Y774" s="329"/>
    </row>
    <row r="775" spans="1:25" ht="16" hidden="1" customHeight="1">
      <c r="A775" s="51"/>
      <c r="B775" s="59"/>
      <c r="C775" s="59"/>
      <c r="D775" s="59"/>
      <c r="E775" s="59"/>
      <c r="F775" s="59"/>
      <c r="G775" s="59"/>
      <c r="Y775" s="329"/>
    </row>
    <row r="776" spans="1:25" ht="16" hidden="1" customHeight="1">
      <c r="A776" s="51"/>
      <c r="B776" s="59"/>
      <c r="C776" s="59"/>
      <c r="D776" s="59"/>
      <c r="E776" s="59"/>
      <c r="F776" s="59"/>
      <c r="G776" s="59"/>
      <c r="Y776" s="329"/>
    </row>
    <row r="777" spans="1:25" ht="16" hidden="1" customHeight="1">
      <c r="A777" s="51"/>
      <c r="B777" s="59"/>
      <c r="C777" s="59"/>
      <c r="D777" s="59"/>
      <c r="E777" s="59"/>
      <c r="F777" s="59"/>
      <c r="G777" s="59"/>
      <c r="Y777" s="329"/>
    </row>
    <row r="778" spans="1:25" ht="16" hidden="1" customHeight="1">
      <c r="A778" s="51"/>
      <c r="B778" s="59"/>
      <c r="C778" s="59"/>
      <c r="D778" s="59"/>
      <c r="E778" s="59"/>
      <c r="F778" s="59"/>
      <c r="G778" s="59"/>
      <c r="Y778" s="329"/>
    </row>
    <row r="779" spans="1:25" ht="16" hidden="1" customHeight="1">
      <c r="A779" s="51"/>
      <c r="B779" s="59"/>
      <c r="C779" s="59"/>
      <c r="D779" s="59"/>
      <c r="E779" s="59"/>
      <c r="F779" s="59"/>
      <c r="G779" s="59"/>
      <c r="Y779" s="329"/>
    </row>
    <row r="780" spans="1:25" ht="16" hidden="1" customHeight="1">
      <c r="A780" s="51"/>
      <c r="B780" s="59"/>
      <c r="C780" s="59"/>
      <c r="D780" s="59"/>
      <c r="E780" s="59"/>
      <c r="F780" s="59"/>
      <c r="G780" s="59"/>
      <c r="Y780" s="329"/>
    </row>
    <row r="781" spans="1:25" ht="16" hidden="1" customHeight="1">
      <c r="A781" s="51"/>
      <c r="B781" s="59"/>
      <c r="C781" s="59"/>
      <c r="D781" s="59"/>
      <c r="E781" s="59"/>
      <c r="F781" s="59"/>
      <c r="G781" s="59"/>
      <c r="Y781" s="329"/>
    </row>
    <row r="782" spans="1:25" ht="16" hidden="1" customHeight="1">
      <c r="A782" s="51"/>
      <c r="B782" s="59"/>
      <c r="C782" s="59"/>
      <c r="D782" s="59"/>
      <c r="E782" s="59"/>
      <c r="F782" s="59"/>
      <c r="G782" s="59"/>
      <c r="Y782" s="329"/>
    </row>
    <row r="783" spans="1:25" ht="16" hidden="1" customHeight="1">
      <c r="A783" s="51"/>
      <c r="B783" s="59"/>
      <c r="C783" s="59"/>
      <c r="D783" s="59"/>
      <c r="E783" s="59"/>
      <c r="F783" s="59"/>
      <c r="G783" s="59"/>
      <c r="Y783" s="329"/>
    </row>
    <row r="784" spans="1:25" ht="16" hidden="1" customHeight="1">
      <c r="A784" s="51"/>
      <c r="B784" s="59"/>
      <c r="C784" s="59"/>
      <c r="D784" s="59"/>
      <c r="E784" s="59"/>
      <c r="F784" s="59"/>
      <c r="G784" s="59"/>
      <c r="Y784" s="329"/>
    </row>
    <row r="785" spans="1:25" ht="16" hidden="1" customHeight="1">
      <c r="A785" s="51"/>
      <c r="B785" s="59"/>
      <c r="C785" s="59"/>
      <c r="D785" s="59"/>
      <c r="E785" s="59"/>
      <c r="F785" s="59"/>
      <c r="G785" s="59"/>
      <c r="Y785" s="329"/>
    </row>
    <row r="786" spans="1:25" ht="16" hidden="1" customHeight="1">
      <c r="A786" s="51"/>
      <c r="B786" s="59"/>
      <c r="C786" s="59"/>
      <c r="D786" s="59"/>
      <c r="E786" s="59"/>
      <c r="F786" s="59"/>
      <c r="G786" s="59"/>
      <c r="Y786" s="329"/>
    </row>
    <row r="787" spans="1:25" ht="16" hidden="1" customHeight="1">
      <c r="A787" s="51"/>
      <c r="B787" s="59"/>
      <c r="C787" s="59"/>
      <c r="D787" s="59"/>
      <c r="E787" s="59"/>
      <c r="F787" s="59"/>
      <c r="G787" s="59"/>
      <c r="Y787" s="329"/>
    </row>
    <row r="788" spans="1:25" ht="16" hidden="1" customHeight="1">
      <c r="A788" s="51"/>
      <c r="B788" s="59"/>
      <c r="C788" s="59"/>
      <c r="D788" s="59"/>
      <c r="E788" s="59"/>
      <c r="F788" s="59"/>
      <c r="G788" s="59"/>
      <c r="Y788" s="329"/>
    </row>
    <row r="789" spans="1:25" ht="16" hidden="1" customHeight="1">
      <c r="A789" s="51"/>
      <c r="B789" s="59"/>
      <c r="C789" s="59"/>
      <c r="D789" s="59"/>
      <c r="E789" s="59"/>
      <c r="F789" s="59"/>
      <c r="G789" s="59"/>
      <c r="Y789" s="329"/>
    </row>
    <row r="790" spans="1:25" ht="16" hidden="1" customHeight="1">
      <c r="A790" s="51"/>
      <c r="B790" s="59"/>
      <c r="C790" s="59"/>
      <c r="D790" s="59"/>
      <c r="E790" s="59"/>
      <c r="F790" s="59"/>
      <c r="G790" s="59"/>
      <c r="Y790" s="329"/>
    </row>
    <row r="791" spans="1:25" ht="16" hidden="1" customHeight="1">
      <c r="A791" s="51"/>
      <c r="B791" s="59"/>
      <c r="C791" s="59"/>
      <c r="D791" s="59"/>
      <c r="E791" s="59"/>
      <c r="F791" s="59"/>
      <c r="G791" s="59"/>
      <c r="Y791" s="329"/>
    </row>
    <row r="792" spans="1:25" ht="16" hidden="1" customHeight="1">
      <c r="A792" s="51"/>
      <c r="B792" s="59"/>
      <c r="C792" s="59"/>
      <c r="D792" s="59"/>
      <c r="E792" s="59"/>
      <c r="F792" s="59"/>
      <c r="G792" s="59"/>
      <c r="Y792" s="329"/>
    </row>
    <row r="793" spans="1:25" ht="16" hidden="1" customHeight="1">
      <c r="A793" s="51"/>
      <c r="B793" s="59"/>
      <c r="C793" s="59"/>
      <c r="D793" s="59"/>
      <c r="E793" s="59"/>
      <c r="F793" s="59"/>
      <c r="G793" s="59"/>
      <c r="Y793" s="329"/>
    </row>
    <row r="794" spans="1:25" ht="16" hidden="1" customHeight="1">
      <c r="A794" s="51"/>
      <c r="B794" s="59"/>
      <c r="C794" s="59"/>
      <c r="D794" s="59"/>
      <c r="E794" s="59"/>
      <c r="F794" s="59"/>
      <c r="G794" s="59"/>
      <c r="Y794" s="329"/>
    </row>
    <row r="795" spans="1:25" ht="16" hidden="1" customHeight="1">
      <c r="A795" s="51"/>
      <c r="B795" s="59"/>
      <c r="C795" s="59"/>
      <c r="D795" s="59"/>
      <c r="E795" s="59"/>
      <c r="F795" s="59"/>
      <c r="G795" s="59"/>
      <c r="Y795" s="329"/>
    </row>
    <row r="796" spans="1:25" ht="16" hidden="1" customHeight="1">
      <c r="A796" s="51"/>
      <c r="B796" s="59"/>
      <c r="C796" s="59"/>
      <c r="D796" s="59"/>
      <c r="E796" s="59"/>
      <c r="F796" s="59"/>
      <c r="G796" s="59"/>
      <c r="Y796" s="329"/>
    </row>
    <row r="797" spans="1:25" ht="16" hidden="1" customHeight="1">
      <c r="A797" s="51"/>
      <c r="B797" s="59"/>
      <c r="C797" s="59"/>
      <c r="D797" s="59"/>
      <c r="E797" s="59"/>
      <c r="F797" s="59"/>
      <c r="G797" s="59"/>
      <c r="Y797" s="329"/>
    </row>
    <row r="798" spans="1:25" ht="16" hidden="1" customHeight="1">
      <c r="A798" s="51"/>
      <c r="B798" s="59"/>
      <c r="C798" s="59"/>
      <c r="D798" s="59"/>
      <c r="E798" s="59"/>
      <c r="F798" s="59"/>
      <c r="G798" s="59"/>
      <c r="Y798" s="329"/>
    </row>
    <row r="799" spans="1:25" ht="16" hidden="1" customHeight="1">
      <c r="A799" s="51"/>
      <c r="B799" s="59"/>
      <c r="C799" s="59"/>
      <c r="D799" s="59"/>
      <c r="E799" s="59"/>
      <c r="F799" s="59"/>
      <c r="G799" s="59"/>
      <c r="Y799" s="329"/>
    </row>
    <row r="800" spans="1:25" ht="16" hidden="1" customHeight="1">
      <c r="A800" s="51"/>
      <c r="B800" s="59"/>
      <c r="C800" s="59"/>
      <c r="D800" s="59"/>
      <c r="E800" s="59"/>
      <c r="F800" s="59"/>
      <c r="G800" s="59"/>
      <c r="Y800" s="329"/>
    </row>
    <row r="801" spans="1:25" ht="16" hidden="1" customHeight="1">
      <c r="A801" s="51"/>
      <c r="B801" s="59"/>
      <c r="C801" s="59"/>
      <c r="D801" s="59"/>
      <c r="E801" s="59"/>
      <c r="F801" s="59"/>
      <c r="G801" s="59"/>
      <c r="Y801" s="329"/>
    </row>
    <row r="802" spans="1:25" ht="16" hidden="1" customHeight="1">
      <c r="A802" s="51"/>
      <c r="B802" s="59"/>
      <c r="C802" s="59"/>
      <c r="D802" s="59"/>
      <c r="E802" s="59"/>
      <c r="F802" s="59"/>
      <c r="G802" s="59"/>
      <c r="Y802" s="329"/>
    </row>
    <row r="803" spans="1:25" ht="16" hidden="1" customHeight="1">
      <c r="A803" s="51"/>
      <c r="B803" s="59"/>
      <c r="C803" s="59"/>
      <c r="D803" s="59"/>
      <c r="E803" s="59"/>
      <c r="F803" s="59"/>
      <c r="G803" s="59"/>
      <c r="Y803" s="329"/>
    </row>
    <row r="804" spans="1:25" ht="16" hidden="1" customHeight="1">
      <c r="A804" s="51"/>
      <c r="B804" s="59"/>
      <c r="C804" s="59"/>
      <c r="D804" s="59"/>
      <c r="E804" s="59"/>
      <c r="F804" s="59"/>
      <c r="G804" s="59"/>
      <c r="Y804" s="329"/>
    </row>
    <row r="805" spans="1:25" ht="16" hidden="1" customHeight="1">
      <c r="A805" s="51"/>
      <c r="B805" s="59"/>
      <c r="C805" s="59"/>
      <c r="D805" s="59"/>
      <c r="E805" s="59"/>
      <c r="F805" s="59"/>
      <c r="G805" s="59"/>
      <c r="Y805" s="329"/>
    </row>
    <row r="806" spans="1:25" ht="16" hidden="1" customHeight="1">
      <c r="A806" s="51"/>
      <c r="B806" s="59"/>
      <c r="C806" s="59"/>
      <c r="D806" s="59"/>
      <c r="E806" s="59"/>
      <c r="F806" s="59"/>
      <c r="G806" s="59"/>
      <c r="Y806" s="329"/>
    </row>
    <row r="807" spans="1:25" ht="16" hidden="1" customHeight="1">
      <c r="A807" s="51"/>
      <c r="B807" s="59"/>
      <c r="C807" s="59"/>
      <c r="D807" s="59"/>
      <c r="E807" s="59"/>
      <c r="F807" s="59"/>
      <c r="G807" s="59"/>
      <c r="Y807" s="329"/>
    </row>
    <row r="808" spans="1:25" ht="16" hidden="1" customHeight="1">
      <c r="A808" s="51"/>
      <c r="B808" s="59"/>
      <c r="C808" s="59"/>
      <c r="D808" s="59"/>
      <c r="E808" s="59"/>
      <c r="F808" s="59"/>
      <c r="G808" s="59"/>
      <c r="Y808" s="329"/>
    </row>
    <row r="809" spans="1:25" ht="16" hidden="1" customHeight="1">
      <c r="A809" s="51"/>
      <c r="B809" s="59"/>
      <c r="C809" s="59"/>
      <c r="D809" s="59"/>
      <c r="E809" s="59"/>
      <c r="F809" s="59"/>
      <c r="G809" s="59"/>
      <c r="Y809" s="329"/>
    </row>
    <row r="810" spans="1:25" ht="16" hidden="1" customHeight="1">
      <c r="A810" s="51"/>
      <c r="B810" s="59"/>
      <c r="C810" s="59"/>
      <c r="D810" s="59"/>
      <c r="E810" s="59"/>
      <c r="F810" s="59"/>
      <c r="G810" s="59"/>
      <c r="Y810" s="329"/>
    </row>
    <row r="811" spans="1:25" ht="16" hidden="1" customHeight="1">
      <c r="A811" s="51"/>
      <c r="B811" s="59"/>
      <c r="C811" s="59"/>
      <c r="D811" s="59"/>
      <c r="E811" s="59"/>
      <c r="F811" s="59"/>
      <c r="G811" s="59"/>
      <c r="Y811" s="329"/>
    </row>
    <row r="812" spans="1:25" ht="16" hidden="1" customHeight="1">
      <c r="A812" s="51"/>
      <c r="B812" s="59"/>
      <c r="C812" s="59"/>
      <c r="D812" s="59"/>
      <c r="E812" s="59"/>
      <c r="F812" s="59"/>
      <c r="G812" s="59"/>
      <c r="Y812" s="329"/>
    </row>
    <row r="813" spans="1:25" ht="16" hidden="1" customHeight="1">
      <c r="A813" s="51"/>
      <c r="B813" s="59"/>
      <c r="C813" s="59"/>
      <c r="D813" s="59"/>
      <c r="E813" s="59"/>
      <c r="F813" s="59"/>
      <c r="G813" s="59"/>
      <c r="Y813" s="329"/>
    </row>
    <row r="814" spans="1:25" ht="16" hidden="1" customHeight="1">
      <c r="A814" s="51"/>
      <c r="B814" s="59"/>
      <c r="C814" s="59"/>
      <c r="D814" s="59"/>
      <c r="E814" s="59"/>
      <c r="F814" s="59"/>
      <c r="G814" s="59"/>
      <c r="Y814" s="329"/>
    </row>
    <row r="815" spans="1:25" ht="16" hidden="1" customHeight="1">
      <c r="A815" s="51"/>
      <c r="B815" s="59"/>
      <c r="C815" s="59"/>
      <c r="D815" s="59"/>
      <c r="E815" s="59"/>
      <c r="F815" s="59"/>
      <c r="G815" s="59"/>
      <c r="Y815" s="329"/>
    </row>
    <row r="816" spans="1:25" ht="16" hidden="1" customHeight="1">
      <c r="A816" s="51"/>
      <c r="B816" s="59"/>
      <c r="C816" s="59"/>
      <c r="D816" s="59"/>
      <c r="E816" s="59"/>
      <c r="F816" s="59"/>
      <c r="G816" s="59"/>
      <c r="Y816" s="329"/>
    </row>
    <row r="817" spans="1:25" ht="16" hidden="1" customHeight="1">
      <c r="A817" s="51"/>
      <c r="B817" s="59"/>
      <c r="C817" s="59"/>
      <c r="D817" s="59"/>
      <c r="E817" s="59"/>
      <c r="F817" s="59"/>
      <c r="G817" s="59"/>
      <c r="Y817" s="329"/>
    </row>
    <row r="818" spans="1:25" ht="16" hidden="1" customHeight="1">
      <c r="A818" s="51"/>
      <c r="B818" s="59"/>
      <c r="C818" s="59"/>
      <c r="D818" s="59"/>
      <c r="E818" s="59"/>
      <c r="F818" s="59"/>
      <c r="G818" s="59"/>
      <c r="Y818" s="329"/>
    </row>
    <row r="819" spans="1:25" ht="16" hidden="1" customHeight="1">
      <c r="A819" s="51"/>
      <c r="B819" s="59"/>
      <c r="C819" s="59"/>
      <c r="D819" s="59"/>
      <c r="E819" s="59"/>
      <c r="F819" s="59"/>
      <c r="G819" s="59"/>
      <c r="Y819" s="329"/>
    </row>
    <row r="820" spans="1:25" ht="16" hidden="1" customHeight="1">
      <c r="A820" s="51"/>
      <c r="B820" s="59"/>
      <c r="C820" s="59"/>
      <c r="D820" s="59"/>
      <c r="E820" s="59"/>
      <c r="F820" s="59"/>
      <c r="G820" s="59"/>
      <c r="Y820" s="329"/>
    </row>
    <row r="821" spans="1:25" ht="16" hidden="1" customHeight="1">
      <c r="A821" s="51"/>
      <c r="B821" s="59"/>
      <c r="C821" s="59"/>
      <c r="D821" s="59"/>
      <c r="E821" s="59"/>
      <c r="F821" s="59"/>
      <c r="G821" s="59"/>
      <c r="Y821" s="329"/>
    </row>
    <row r="822" spans="1:25" ht="16" hidden="1" customHeight="1">
      <c r="A822" s="51"/>
      <c r="B822" s="59"/>
      <c r="C822" s="59"/>
      <c r="D822" s="59"/>
      <c r="E822" s="59"/>
      <c r="F822" s="59"/>
      <c r="G822" s="59"/>
      <c r="Y822" s="329"/>
    </row>
    <row r="823" spans="1:25" ht="16" hidden="1" customHeight="1">
      <c r="A823" s="51"/>
      <c r="B823" s="59"/>
      <c r="C823" s="59"/>
      <c r="D823" s="59"/>
      <c r="E823" s="59"/>
      <c r="F823" s="59"/>
      <c r="G823" s="59"/>
      <c r="Y823" s="329"/>
    </row>
    <row r="824" spans="1:25" ht="16" hidden="1" customHeight="1">
      <c r="A824" s="51"/>
      <c r="B824" s="59"/>
      <c r="C824" s="59"/>
      <c r="D824" s="59"/>
      <c r="E824" s="59"/>
      <c r="F824" s="59"/>
      <c r="G824" s="59"/>
      <c r="Y824" s="329"/>
    </row>
    <row r="825" spans="1:25" ht="16" hidden="1" customHeight="1">
      <c r="A825" s="51"/>
      <c r="B825" s="59"/>
      <c r="C825" s="59"/>
      <c r="D825" s="59"/>
      <c r="E825" s="59"/>
      <c r="F825" s="59"/>
      <c r="G825" s="59"/>
      <c r="Y825" s="329"/>
    </row>
    <row r="826" spans="1:25" ht="16" hidden="1" customHeight="1">
      <c r="A826" s="51"/>
      <c r="B826" s="59"/>
      <c r="C826" s="59"/>
      <c r="D826" s="59"/>
      <c r="E826" s="59"/>
      <c r="F826" s="59"/>
      <c r="G826" s="59"/>
      <c r="Y826" s="329"/>
    </row>
    <row r="827" spans="1:25" ht="16" hidden="1" customHeight="1">
      <c r="A827" s="51"/>
      <c r="B827" s="59"/>
      <c r="C827" s="59"/>
      <c r="D827" s="59"/>
      <c r="E827" s="59"/>
      <c r="F827" s="59"/>
      <c r="G827" s="59"/>
      <c r="Y827" s="329"/>
    </row>
    <row r="828" spans="1:25" ht="16" hidden="1" customHeight="1">
      <c r="A828" s="51"/>
      <c r="B828" s="59"/>
      <c r="C828" s="59"/>
      <c r="D828" s="59"/>
      <c r="E828" s="59"/>
      <c r="F828" s="59"/>
      <c r="G828" s="59"/>
      <c r="Y828" s="329"/>
    </row>
    <row r="829" spans="1:25" ht="16" hidden="1" customHeight="1">
      <c r="A829" s="51"/>
      <c r="B829" s="59"/>
      <c r="C829" s="59"/>
      <c r="D829" s="59"/>
      <c r="E829" s="59"/>
      <c r="F829" s="59"/>
      <c r="G829" s="59"/>
      <c r="Y829" s="329"/>
    </row>
    <row r="830" spans="1:25" ht="16" hidden="1" customHeight="1">
      <c r="A830" s="51"/>
      <c r="B830" s="59"/>
      <c r="C830" s="59"/>
      <c r="D830" s="59"/>
      <c r="E830" s="59"/>
      <c r="F830" s="59"/>
      <c r="G830" s="59"/>
      <c r="Y830" s="329"/>
    </row>
    <row r="831" spans="1:25" ht="16" hidden="1" customHeight="1">
      <c r="A831" s="51"/>
      <c r="B831" s="59"/>
      <c r="C831" s="59"/>
      <c r="D831" s="59"/>
      <c r="E831" s="59"/>
      <c r="F831" s="59"/>
      <c r="G831" s="59"/>
      <c r="Y831" s="329"/>
    </row>
    <row r="832" spans="1:25" ht="16" hidden="1" customHeight="1">
      <c r="A832" s="51"/>
      <c r="B832" s="59"/>
      <c r="C832" s="59"/>
      <c r="D832" s="59"/>
      <c r="E832" s="59"/>
      <c r="F832" s="59"/>
      <c r="G832" s="59"/>
      <c r="Y832" s="329"/>
    </row>
    <row r="833" spans="1:25" ht="16" hidden="1" customHeight="1">
      <c r="A833" s="51"/>
      <c r="B833" s="59"/>
      <c r="C833" s="59"/>
      <c r="D833" s="59"/>
      <c r="E833" s="59"/>
      <c r="F833" s="59"/>
      <c r="G833" s="59"/>
      <c r="Y833" s="329"/>
    </row>
    <row r="834" spans="1:25" ht="16" hidden="1" customHeight="1">
      <c r="A834" s="51"/>
      <c r="B834" s="59"/>
      <c r="C834" s="59"/>
      <c r="D834" s="59"/>
      <c r="E834" s="59"/>
      <c r="F834" s="59"/>
      <c r="G834" s="59"/>
      <c r="Y834" s="329"/>
    </row>
    <row r="835" spans="1:25" ht="16" hidden="1" customHeight="1">
      <c r="A835" s="51"/>
      <c r="B835" s="59"/>
      <c r="C835" s="59"/>
      <c r="D835" s="59"/>
      <c r="E835" s="59"/>
      <c r="F835" s="59"/>
      <c r="G835" s="59"/>
      <c r="Y835" s="329"/>
    </row>
    <row r="836" spans="1:25" ht="16" hidden="1" customHeight="1">
      <c r="A836" s="51"/>
      <c r="B836" s="59"/>
      <c r="C836" s="59"/>
      <c r="D836" s="59"/>
      <c r="E836" s="59"/>
      <c r="F836" s="59"/>
      <c r="G836" s="59"/>
      <c r="Y836" s="329"/>
    </row>
    <row r="837" spans="1:25" ht="16" hidden="1" customHeight="1">
      <c r="A837" s="51"/>
      <c r="B837" s="59"/>
      <c r="C837" s="59"/>
      <c r="D837" s="59"/>
      <c r="E837" s="59"/>
      <c r="F837" s="59"/>
      <c r="G837" s="59"/>
      <c r="Y837" s="329"/>
    </row>
    <row r="838" spans="1:25" ht="16" hidden="1" customHeight="1">
      <c r="A838" s="51"/>
      <c r="B838" s="59"/>
      <c r="C838" s="59"/>
      <c r="D838" s="59"/>
      <c r="E838" s="59"/>
      <c r="F838" s="59"/>
      <c r="G838" s="59"/>
      <c r="Y838" s="329"/>
    </row>
    <row r="839" spans="1:25" ht="16" hidden="1" customHeight="1">
      <c r="A839" s="51"/>
      <c r="B839" s="59"/>
      <c r="C839" s="59"/>
      <c r="D839" s="59"/>
      <c r="E839" s="59"/>
      <c r="F839" s="59"/>
      <c r="G839" s="59"/>
      <c r="Y839" s="329"/>
    </row>
    <row r="840" spans="1:25" ht="16" hidden="1" customHeight="1">
      <c r="A840" s="51"/>
      <c r="B840" s="59"/>
      <c r="C840" s="59"/>
      <c r="D840" s="59"/>
      <c r="E840" s="59"/>
      <c r="F840" s="59"/>
      <c r="G840" s="59"/>
      <c r="Y840" s="329"/>
    </row>
    <row r="841" spans="1:25" ht="16" hidden="1" customHeight="1">
      <c r="A841" s="51"/>
      <c r="B841" s="59"/>
      <c r="C841" s="59"/>
      <c r="D841" s="59"/>
      <c r="E841" s="59"/>
      <c r="F841" s="59"/>
      <c r="G841" s="59"/>
      <c r="Y841" s="329"/>
    </row>
    <row r="842" spans="1:25" ht="16" hidden="1" customHeight="1">
      <c r="A842" s="51"/>
      <c r="B842" s="59"/>
      <c r="C842" s="59"/>
      <c r="D842" s="59"/>
      <c r="E842" s="59"/>
      <c r="F842" s="59"/>
      <c r="G842" s="59"/>
      <c r="Y842" s="329"/>
    </row>
    <row r="843" spans="1:25" ht="16" hidden="1" customHeight="1">
      <c r="A843" s="51"/>
      <c r="B843" s="59"/>
      <c r="C843" s="59"/>
      <c r="D843" s="59"/>
      <c r="E843" s="59"/>
      <c r="F843" s="59"/>
      <c r="G843" s="59"/>
      <c r="Y843" s="329"/>
    </row>
    <row r="844" spans="1:25" ht="16" hidden="1" customHeight="1">
      <c r="A844" s="51"/>
      <c r="B844" s="59"/>
      <c r="C844" s="59"/>
      <c r="D844" s="59"/>
      <c r="E844" s="59"/>
      <c r="F844" s="59"/>
      <c r="G844" s="59"/>
      <c r="Y844" s="329"/>
    </row>
    <row r="845" spans="1:25" ht="16" hidden="1" customHeight="1">
      <c r="A845" s="51"/>
      <c r="B845" s="59"/>
      <c r="C845" s="59"/>
      <c r="D845" s="59"/>
      <c r="E845" s="59"/>
      <c r="F845" s="59"/>
      <c r="G845" s="59"/>
      <c r="Y845" s="329"/>
    </row>
    <row r="846" spans="1:25" ht="16" hidden="1" customHeight="1">
      <c r="A846" s="51"/>
      <c r="B846" s="59"/>
      <c r="C846" s="59"/>
      <c r="D846" s="59"/>
      <c r="E846" s="59"/>
      <c r="F846" s="59"/>
      <c r="G846" s="59"/>
      <c r="Y846" s="329"/>
    </row>
    <row r="847" spans="1:25" ht="16" hidden="1" customHeight="1">
      <c r="A847" s="51"/>
      <c r="B847" s="59"/>
      <c r="C847" s="59"/>
      <c r="D847" s="59"/>
      <c r="E847" s="59"/>
      <c r="F847" s="59"/>
      <c r="G847" s="59"/>
      <c r="Y847" s="329"/>
    </row>
    <row r="848" spans="1:25" ht="16" hidden="1" customHeight="1">
      <c r="A848" s="51"/>
      <c r="B848" s="59"/>
      <c r="C848" s="59"/>
      <c r="D848" s="59"/>
      <c r="E848" s="59"/>
      <c r="F848" s="59"/>
      <c r="G848" s="59"/>
      <c r="Y848" s="329"/>
    </row>
    <row r="849" spans="1:25" ht="16" hidden="1" customHeight="1">
      <c r="A849" s="51"/>
      <c r="B849" s="59"/>
      <c r="C849" s="59"/>
      <c r="D849" s="59"/>
      <c r="E849" s="59"/>
      <c r="F849" s="59"/>
      <c r="G849" s="59"/>
      <c r="Y849" s="329"/>
    </row>
    <row r="850" spans="1:25" ht="16" hidden="1" customHeight="1">
      <c r="A850" s="51"/>
      <c r="B850" s="59"/>
      <c r="C850" s="59"/>
      <c r="D850" s="59"/>
      <c r="E850" s="59"/>
      <c r="F850" s="59"/>
      <c r="G850" s="59"/>
      <c r="Y850" s="329"/>
    </row>
    <row r="851" spans="1:25" ht="16" hidden="1" customHeight="1">
      <c r="A851" s="51"/>
      <c r="B851" s="59"/>
      <c r="C851" s="59"/>
      <c r="D851" s="59"/>
      <c r="E851" s="59"/>
      <c r="F851" s="59"/>
      <c r="G851" s="59"/>
      <c r="Y851" s="329"/>
    </row>
    <row r="852" spans="1:25" ht="16" hidden="1" customHeight="1">
      <c r="A852" s="51"/>
      <c r="B852" s="59"/>
      <c r="C852" s="59"/>
      <c r="D852" s="59"/>
      <c r="E852" s="59"/>
      <c r="F852" s="59"/>
      <c r="G852" s="59"/>
      <c r="Y852" s="329"/>
    </row>
    <row r="853" spans="1:25" ht="16" hidden="1" customHeight="1">
      <c r="A853" s="51"/>
      <c r="B853" s="59"/>
      <c r="C853" s="59"/>
      <c r="D853" s="59"/>
      <c r="E853" s="59"/>
      <c r="F853" s="59"/>
      <c r="G853" s="59"/>
      <c r="Y853" s="329"/>
    </row>
    <row r="854" spans="1:25" ht="16" hidden="1" customHeight="1">
      <c r="A854" s="51"/>
      <c r="B854" s="59"/>
      <c r="C854" s="59"/>
      <c r="D854" s="59"/>
      <c r="E854" s="59"/>
      <c r="F854" s="59"/>
      <c r="G854" s="59"/>
      <c r="Y854" s="329"/>
    </row>
    <row r="855" spans="1:25" ht="16" hidden="1" customHeight="1">
      <c r="A855" s="51"/>
      <c r="B855" s="59"/>
      <c r="C855" s="59"/>
      <c r="D855" s="59"/>
      <c r="E855" s="59"/>
      <c r="F855" s="59"/>
      <c r="G855" s="59"/>
      <c r="Y855" s="329"/>
    </row>
    <row r="856" spans="1:25" ht="16" hidden="1" customHeight="1">
      <c r="A856" s="51"/>
      <c r="B856" s="59"/>
      <c r="C856" s="59"/>
      <c r="D856" s="59"/>
      <c r="E856" s="59"/>
      <c r="F856" s="59"/>
      <c r="G856" s="59"/>
      <c r="Y856" s="329"/>
    </row>
    <row r="857" spans="1:25" ht="16" hidden="1" customHeight="1">
      <c r="A857" s="51"/>
      <c r="B857" s="59"/>
      <c r="C857" s="59"/>
      <c r="D857" s="59"/>
      <c r="E857" s="59"/>
      <c r="F857" s="59"/>
      <c r="G857" s="59"/>
      <c r="Y857" s="329"/>
    </row>
    <row r="858" spans="1:25" ht="16" hidden="1" customHeight="1">
      <c r="A858" s="51"/>
      <c r="B858" s="59"/>
      <c r="C858" s="59"/>
      <c r="D858" s="59"/>
      <c r="E858" s="59"/>
      <c r="F858" s="59"/>
      <c r="G858" s="59"/>
      <c r="Y858" s="329"/>
    </row>
    <row r="859" spans="1:25" ht="16" hidden="1" customHeight="1">
      <c r="A859" s="51"/>
      <c r="B859" s="59"/>
      <c r="C859" s="59"/>
      <c r="D859" s="59"/>
      <c r="E859" s="59"/>
      <c r="F859" s="59"/>
      <c r="G859" s="59"/>
      <c r="Y859" s="329"/>
    </row>
    <row r="860" spans="1:25" ht="16" hidden="1" customHeight="1">
      <c r="A860" s="51"/>
      <c r="B860" s="59"/>
      <c r="C860" s="59"/>
      <c r="D860" s="59"/>
      <c r="E860" s="59"/>
      <c r="F860" s="59"/>
      <c r="G860" s="59"/>
      <c r="Y860" s="329"/>
    </row>
    <row r="861" spans="1:25" ht="16" hidden="1" customHeight="1">
      <c r="A861" s="51"/>
      <c r="B861" s="59"/>
      <c r="C861" s="59"/>
      <c r="D861" s="59"/>
      <c r="E861" s="59"/>
      <c r="F861" s="59"/>
      <c r="G861" s="59"/>
      <c r="Y861" s="329"/>
    </row>
    <row r="862" spans="1:25" ht="16" hidden="1" customHeight="1">
      <c r="A862" s="51"/>
      <c r="B862" s="59"/>
      <c r="C862" s="59"/>
      <c r="D862" s="59"/>
      <c r="E862" s="59"/>
      <c r="F862" s="59"/>
      <c r="G862" s="59"/>
      <c r="Y862" s="329"/>
    </row>
    <row r="863" spans="1:25" ht="16" hidden="1" customHeight="1">
      <c r="A863" s="51"/>
      <c r="B863" s="59"/>
      <c r="C863" s="59"/>
      <c r="D863" s="59"/>
      <c r="E863" s="59"/>
      <c r="F863" s="59"/>
      <c r="G863" s="59"/>
      <c r="Y863" s="329"/>
    </row>
    <row r="864" spans="1:25" ht="16" hidden="1" customHeight="1">
      <c r="A864" s="51"/>
      <c r="B864" s="59"/>
      <c r="C864" s="59"/>
      <c r="D864" s="59"/>
      <c r="E864" s="59"/>
      <c r="F864" s="59"/>
      <c r="G864" s="59"/>
      <c r="Y864" s="329"/>
    </row>
    <row r="865" spans="1:25" ht="16" hidden="1" customHeight="1">
      <c r="A865" s="51"/>
      <c r="B865" s="59"/>
      <c r="C865" s="59"/>
      <c r="D865" s="59"/>
      <c r="E865" s="59"/>
      <c r="F865" s="59"/>
      <c r="G865" s="59"/>
      <c r="Y865" s="329"/>
    </row>
    <row r="866" spans="1:25" ht="16" hidden="1" customHeight="1">
      <c r="A866" s="51"/>
      <c r="B866" s="59"/>
      <c r="C866" s="59"/>
      <c r="D866" s="59"/>
      <c r="E866" s="59"/>
      <c r="F866" s="59"/>
      <c r="G866" s="59"/>
      <c r="Y866" s="329"/>
    </row>
    <row r="867" spans="1:25" ht="16" hidden="1" customHeight="1">
      <c r="A867" s="51"/>
      <c r="B867" s="59"/>
      <c r="C867" s="59"/>
      <c r="D867" s="59"/>
      <c r="E867" s="59"/>
      <c r="F867" s="59"/>
      <c r="G867" s="59"/>
      <c r="Y867" s="329"/>
    </row>
    <row r="868" spans="1:25" ht="16" hidden="1" customHeight="1">
      <c r="A868" s="51"/>
      <c r="B868" s="59"/>
      <c r="C868" s="59"/>
      <c r="D868" s="59"/>
      <c r="E868" s="59"/>
      <c r="F868" s="59"/>
      <c r="G868" s="59"/>
      <c r="Y868" s="329"/>
    </row>
    <row r="869" spans="1:25" ht="16" hidden="1" customHeight="1">
      <c r="A869" s="51"/>
      <c r="B869" s="59"/>
      <c r="C869" s="59"/>
      <c r="D869" s="59"/>
      <c r="E869" s="59"/>
      <c r="F869" s="59"/>
      <c r="G869" s="59"/>
      <c r="Y869" s="329"/>
    </row>
    <row r="870" spans="1:25" ht="16" hidden="1" customHeight="1">
      <c r="A870" s="51"/>
      <c r="B870" s="59"/>
      <c r="C870" s="59"/>
      <c r="D870" s="59"/>
      <c r="E870" s="59"/>
      <c r="F870" s="59"/>
      <c r="G870" s="59"/>
      <c r="Y870" s="329"/>
    </row>
    <row r="871" spans="1:25" ht="16" hidden="1" customHeight="1">
      <c r="A871" s="51"/>
      <c r="B871" s="59"/>
      <c r="C871" s="59"/>
      <c r="D871" s="59"/>
      <c r="E871" s="59"/>
      <c r="F871" s="59"/>
      <c r="G871" s="59"/>
      <c r="Y871" s="329"/>
    </row>
    <row r="872" spans="1:25" ht="16" hidden="1" customHeight="1">
      <c r="A872" s="51"/>
      <c r="B872" s="59"/>
      <c r="C872" s="59"/>
      <c r="D872" s="59"/>
      <c r="E872" s="59"/>
      <c r="F872" s="59"/>
      <c r="G872" s="59"/>
      <c r="Y872" s="329"/>
    </row>
    <row r="873" spans="1:25" ht="16" hidden="1" customHeight="1">
      <c r="A873" s="51"/>
      <c r="B873" s="59"/>
      <c r="C873" s="59"/>
      <c r="D873" s="59"/>
      <c r="E873" s="59"/>
      <c r="F873" s="59"/>
      <c r="G873" s="59"/>
      <c r="Y873" s="329"/>
    </row>
    <row r="874" spans="1:25" ht="16" hidden="1" customHeight="1">
      <c r="A874" s="51"/>
      <c r="B874" s="59"/>
      <c r="C874" s="59"/>
      <c r="D874" s="59"/>
      <c r="E874" s="59"/>
      <c r="F874" s="59"/>
      <c r="G874" s="59"/>
      <c r="Y874" s="329"/>
    </row>
    <row r="875" spans="1:25" ht="16" hidden="1" customHeight="1">
      <c r="A875" s="51"/>
      <c r="B875" s="59"/>
      <c r="C875" s="59"/>
      <c r="D875" s="59"/>
      <c r="E875" s="59"/>
      <c r="F875" s="59"/>
      <c r="G875" s="59"/>
      <c r="Y875" s="329"/>
    </row>
    <row r="876" spans="1:25" ht="16" hidden="1" customHeight="1">
      <c r="A876" s="51"/>
      <c r="B876" s="59"/>
      <c r="C876" s="59"/>
      <c r="D876" s="59"/>
      <c r="E876" s="59"/>
      <c r="F876" s="59"/>
      <c r="G876" s="59"/>
      <c r="Y876" s="329"/>
    </row>
    <row r="877" spans="1:25" ht="16" hidden="1" customHeight="1">
      <c r="A877" s="51"/>
      <c r="B877" s="59"/>
      <c r="C877" s="59"/>
      <c r="D877" s="59"/>
      <c r="E877" s="59"/>
      <c r="F877" s="59"/>
      <c r="G877" s="59"/>
      <c r="Y877" s="329"/>
    </row>
    <row r="878" spans="1:25" ht="16" hidden="1" customHeight="1">
      <c r="A878" s="51"/>
      <c r="B878" s="59"/>
      <c r="C878" s="59"/>
      <c r="D878" s="59"/>
      <c r="E878" s="59"/>
      <c r="F878" s="59"/>
      <c r="G878" s="59"/>
      <c r="Y878" s="329"/>
    </row>
    <row r="879" spans="1:25" ht="16" hidden="1" customHeight="1">
      <c r="A879" s="51"/>
      <c r="B879" s="59"/>
      <c r="C879" s="59"/>
      <c r="D879" s="59"/>
      <c r="E879" s="59"/>
      <c r="F879" s="59"/>
      <c r="G879" s="59"/>
      <c r="Y879" s="329"/>
    </row>
    <row r="880" spans="1:25" ht="16" hidden="1" customHeight="1">
      <c r="A880" s="51"/>
      <c r="B880" s="59"/>
      <c r="C880" s="59"/>
      <c r="D880" s="59"/>
      <c r="E880" s="59"/>
      <c r="F880" s="59"/>
      <c r="G880" s="59"/>
      <c r="Y880" s="329"/>
    </row>
    <row r="881" spans="1:25" ht="16" hidden="1" customHeight="1">
      <c r="A881" s="51"/>
      <c r="B881" s="59"/>
      <c r="C881" s="59"/>
      <c r="D881" s="59"/>
      <c r="E881" s="59"/>
      <c r="F881" s="59"/>
      <c r="G881" s="59"/>
      <c r="Y881" s="329"/>
    </row>
    <row r="882" spans="1:25" ht="16" hidden="1" customHeight="1">
      <c r="A882" s="51"/>
      <c r="B882" s="59"/>
      <c r="C882" s="59"/>
      <c r="D882" s="59"/>
      <c r="E882" s="59"/>
      <c r="F882" s="59"/>
      <c r="G882" s="59"/>
      <c r="Y882" s="329"/>
    </row>
    <row r="883" spans="1:25" ht="16" hidden="1" customHeight="1">
      <c r="A883" s="51"/>
      <c r="B883" s="59"/>
      <c r="C883" s="59"/>
      <c r="D883" s="59"/>
      <c r="E883" s="59"/>
      <c r="F883" s="59"/>
      <c r="G883" s="59"/>
      <c r="Y883" s="329"/>
    </row>
    <row r="884" spans="1:25" ht="16" hidden="1" customHeight="1">
      <c r="A884" s="51"/>
      <c r="B884" s="59"/>
      <c r="C884" s="59"/>
      <c r="D884" s="59"/>
      <c r="E884" s="59"/>
      <c r="F884" s="59"/>
      <c r="G884" s="59"/>
      <c r="Y884" s="329"/>
    </row>
    <row r="885" spans="1:25" ht="16" hidden="1" customHeight="1">
      <c r="A885" s="51"/>
      <c r="B885" s="59"/>
      <c r="C885" s="59"/>
      <c r="D885" s="59"/>
      <c r="E885" s="59"/>
      <c r="F885" s="59"/>
      <c r="G885" s="59"/>
      <c r="Y885" s="329"/>
    </row>
    <row r="886" spans="1:25" ht="16" hidden="1" customHeight="1">
      <c r="A886" s="51"/>
      <c r="B886" s="59"/>
      <c r="C886" s="59"/>
      <c r="D886" s="59"/>
      <c r="E886" s="59"/>
      <c r="F886" s="59"/>
      <c r="G886" s="59"/>
      <c r="Y886" s="329"/>
    </row>
    <row r="887" spans="1:25" ht="16" hidden="1" customHeight="1">
      <c r="A887" s="51"/>
      <c r="B887" s="59"/>
      <c r="C887" s="59"/>
      <c r="D887" s="59"/>
      <c r="E887" s="59"/>
      <c r="F887" s="59"/>
      <c r="G887" s="59"/>
      <c r="Y887" s="329"/>
    </row>
    <row r="888" spans="1:25" ht="16" hidden="1" customHeight="1">
      <c r="A888" s="51"/>
      <c r="B888" s="59"/>
      <c r="C888" s="59"/>
      <c r="D888" s="59"/>
      <c r="E888" s="59"/>
      <c r="F888" s="59"/>
      <c r="G888" s="59"/>
      <c r="Y888" s="329"/>
    </row>
    <row r="889" spans="1:25" ht="16" hidden="1" customHeight="1">
      <c r="A889" s="51"/>
      <c r="B889" s="59"/>
      <c r="C889" s="59"/>
      <c r="D889" s="59"/>
      <c r="E889" s="59"/>
      <c r="F889" s="59"/>
      <c r="G889" s="59"/>
      <c r="Y889" s="329"/>
    </row>
    <row r="890" spans="1:25" ht="16" hidden="1" customHeight="1">
      <c r="A890" s="51"/>
      <c r="B890" s="59"/>
      <c r="C890" s="59"/>
      <c r="D890" s="59"/>
      <c r="E890" s="59"/>
      <c r="F890" s="59"/>
      <c r="G890" s="59"/>
      <c r="Y890" s="329"/>
    </row>
    <row r="891" spans="1:25" ht="16" hidden="1" customHeight="1">
      <c r="A891" s="51"/>
      <c r="B891" s="59"/>
      <c r="C891" s="59"/>
      <c r="D891" s="59"/>
      <c r="E891" s="59"/>
      <c r="F891" s="59"/>
      <c r="G891" s="59"/>
      <c r="Y891" s="329"/>
    </row>
    <row r="892" spans="1:25" ht="16" hidden="1" customHeight="1">
      <c r="A892" s="51"/>
      <c r="B892" s="59"/>
      <c r="C892" s="59"/>
      <c r="D892" s="59"/>
      <c r="E892" s="59"/>
      <c r="F892" s="59"/>
      <c r="G892" s="59"/>
      <c r="Y892" s="329"/>
    </row>
    <row r="893" spans="1:25" ht="16" hidden="1" customHeight="1">
      <c r="A893" s="51"/>
      <c r="B893" s="59"/>
      <c r="C893" s="59"/>
      <c r="D893" s="59"/>
      <c r="E893" s="59"/>
      <c r="F893" s="59"/>
      <c r="G893" s="59"/>
      <c r="Y893" s="329"/>
    </row>
    <row r="894" spans="1:25" ht="16" hidden="1" customHeight="1">
      <c r="A894" s="51"/>
      <c r="B894" s="59"/>
      <c r="C894" s="59"/>
      <c r="D894" s="59"/>
      <c r="E894" s="59"/>
      <c r="F894" s="59"/>
      <c r="G894" s="59"/>
      <c r="Y894" s="329"/>
    </row>
    <row r="895" spans="1:25" ht="16" hidden="1" customHeight="1">
      <c r="A895" s="51"/>
      <c r="B895" s="59"/>
      <c r="C895" s="59"/>
      <c r="D895" s="59"/>
      <c r="E895" s="59"/>
      <c r="F895" s="59"/>
      <c r="G895" s="59"/>
      <c r="Y895" s="329"/>
    </row>
    <row r="896" spans="1:25" ht="16" hidden="1" customHeight="1">
      <c r="A896" s="51"/>
      <c r="B896" s="59"/>
      <c r="C896" s="59"/>
      <c r="D896" s="59"/>
      <c r="E896" s="59"/>
      <c r="F896" s="59"/>
      <c r="G896" s="59"/>
      <c r="Y896" s="329"/>
    </row>
    <row r="897" spans="1:25" ht="16" hidden="1" customHeight="1">
      <c r="A897" s="51"/>
      <c r="B897" s="59"/>
      <c r="C897" s="59"/>
      <c r="D897" s="59"/>
      <c r="E897" s="59"/>
      <c r="F897" s="59"/>
      <c r="G897" s="59"/>
      <c r="Y897" s="329"/>
    </row>
    <row r="898" spans="1:25" ht="16" hidden="1" customHeight="1">
      <c r="A898" s="51"/>
      <c r="B898" s="59"/>
      <c r="C898" s="59"/>
      <c r="D898" s="59"/>
      <c r="E898" s="59"/>
      <c r="F898" s="59"/>
      <c r="G898" s="59"/>
      <c r="Y898" s="329"/>
    </row>
    <row r="899" spans="1:25" ht="16" hidden="1" customHeight="1">
      <c r="A899" s="51"/>
      <c r="B899" s="59"/>
      <c r="C899" s="59"/>
      <c r="D899" s="59"/>
      <c r="E899" s="59"/>
      <c r="F899" s="59"/>
      <c r="G899" s="59"/>
      <c r="Y899" s="329"/>
    </row>
    <row r="900" spans="1:25" ht="16" hidden="1" customHeight="1">
      <c r="A900" s="51"/>
      <c r="B900" s="59"/>
      <c r="C900" s="59"/>
      <c r="D900" s="59"/>
      <c r="E900" s="59"/>
      <c r="F900" s="59"/>
      <c r="G900" s="59"/>
      <c r="Y900" s="329"/>
    </row>
    <row r="901" spans="1:25" ht="16" hidden="1" customHeight="1">
      <c r="A901" s="51"/>
      <c r="B901" s="59"/>
      <c r="C901" s="59"/>
      <c r="D901" s="59"/>
      <c r="E901" s="59"/>
      <c r="F901" s="59"/>
      <c r="G901" s="59"/>
      <c r="Y901" s="329"/>
    </row>
    <row r="902" spans="1:25" ht="16" hidden="1" customHeight="1">
      <c r="A902" s="51"/>
      <c r="B902" s="59"/>
      <c r="C902" s="59"/>
      <c r="D902" s="59"/>
      <c r="E902" s="59"/>
      <c r="F902" s="59"/>
      <c r="G902" s="59"/>
      <c r="Y902" s="329"/>
    </row>
    <row r="903" spans="1:25" ht="16" hidden="1" customHeight="1">
      <c r="A903" s="51"/>
      <c r="B903" s="59"/>
      <c r="C903" s="59"/>
      <c r="D903" s="59"/>
      <c r="E903" s="59"/>
      <c r="F903" s="59"/>
      <c r="G903" s="59"/>
      <c r="Y903" s="329"/>
    </row>
    <row r="904" spans="1:25" ht="16" hidden="1" customHeight="1">
      <c r="A904" s="51"/>
      <c r="B904" s="59"/>
      <c r="C904" s="59"/>
      <c r="D904" s="59"/>
      <c r="E904" s="59"/>
      <c r="F904" s="59"/>
      <c r="G904" s="59"/>
      <c r="Y904" s="329"/>
    </row>
    <row r="905" spans="1:25" ht="16" hidden="1" customHeight="1">
      <c r="A905" s="51"/>
      <c r="B905" s="59"/>
      <c r="C905" s="59"/>
      <c r="D905" s="59"/>
      <c r="E905" s="59"/>
      <c r="F905" s="59"/>
      <c r="G905" s="59"/>
      <c r="Y905" s="329"/>
    </row>
    <row r="906" spans="1:25" ht="16" hidden="1" customHeight="1">
      <c r="A906" s="51"/>
      <c r="B906" s="59"/>
      <c r="C906" s="59"/>
      <c r="D906" s="59"/>
      <c r="E906" s="59"/>
      <c r="F906" s="59"/>
      <c r="G906" s="59"/>
      <c r="Y906" s="329"/>
    </row>
    <row r="907" spans="1:25" ht="16" hidden="1" customHeight="1">
      <c r="A907" s="51"/>
      <c r="B907" s="59"/>
      <c r="C907" s="59"/>
      <c r="D907" s="59"/>
      <c r="E907" s="59"/>
      <c r="F907" s="59"/>
      <c r="G907" s="59"/>
      <c r="Y907" s="329"/>
    </row>
    <row r="908" spans="1:25" ht="16" hidden="1" customHeight="1">
      <c r="A908" s="51"/>
      <c r="B908" s="59"/>
      <c r="C908" s="59"/>
      <c r="D908" s="59"/>
      <c r="E908" s="59"/>
      <c r="F908" s="59"/>
      <c r="G908" s="59"/>
      <c r="Y908" s="329"/>
    </row>
    <row r="909" spans="1:25" ht="16" hidden="1" customHeight="1">
      <c r="A909" s="51"/>
      <c r="B909" s="59"/>
      <c r="C909" s="59"/>
      <c r="D909" s="59"/>
      <c r="E909" s="59"/>
      <c r="F909" s="59"/>
      <c r="G909" s="59"/>
      <c r="Y909" s="329"/>
    </row>
    <row r="910" spans="1:25" ht="16" hidden="1" customHeight="1">
      <c r="A910" s="51"/>
      <c r="B910" s="59"/>
      <c r="C910" s="59"/>
      <c r="D910" s="59"/>
      <c r="E910" s="59"/>
      <c r="F910" s="59"/>
      <c r="G910" s="59"/>
      <c r="Y910" s="329"/>
    </row>
    <row r="911" spans="1:25" ht="16" hidden="1" customHeight="1">
      <c r="A911" s="51"/>
      <c r="B911" s="59"/>
      <c r="C911" s="59"/>
      <c r="D911" s="59"/>
      <c r="E911" s="59"/>
      <c r="F911" s="59"/>
      <c r="G911" s="59"/>
      <c r="Y911" s="329"/>
    </row>
    <row r="912" spans="1:25" ht="16" hidden="1" customHeight="1">
      <c r="A912" s="51"/>
      <c r="B912" s="59"/>
      <c r="C912" s="59"/>
      <c r="D912" s="59"/>
      <c r="E912" s="59"/>
      <c r="F912" s="59"/>
      <c r="G912" s="59"/>
      <c r="Y912" s="329"/>
    </row>
    <row r="913" spans="1:25" ht="16" hidden="1" customHeight="1">
      <c r="A913" s="51"/>
      <c r="B913" s="59"/>
      <c r="C913" s="59"/>
      <c r="D913" s="59"/>
      <c r="E913" s="59"/>
      <c r="F913" s="59"/>
      <c r="G913" s="59"/>
      <c r="Y913" s="329"/>
    </row>
    <row r="914" spans="1:25" ht="16" hidden="1" customHeight="1">
      <c r="A914" s="51"/>
      <c r="B914" s="59"/>
      <c r="C914" s="59"/>
      <c r="D914" s="59"/>
      <c r="E914" s="59"/>
      <c r="F914" s="59"/>
      <c r="G914" s="59"/>
      <c r="Y914" s="329"/>
    </row>
    <row r="915" spans="1:25" ht="16" hidden="1" customHeight="1">
      <c r="A915" s="51"/>
      <c r="B915" s="59"/>
      <c r="C915" s="59"/>
      <c r="D915" s="59"/>
      <c r="E915" s="59"/>
      <c r="F915" s="59"/>
      <c r="G915" s="59"/>
      <c r="Y915" s="329"/>
    </row>
    <row r="916" spans="1:25" ht="16" hidden="1" customHeight="1">
      <c r="A916" s="51"/>
      <c r="B916" s="59"/>
      <c r="C916" s="59"/>
      <c r="D916" s="59"/>
      <c r="E916" s="59"/>
      <c r="F916" s="59"/>
      <c r="G916" s="59"/>
      <c r="Y916" s="329"/>
    </row>
    <row r="917" spans="1:25" ht="16" hidden="1" customHeight="1">
      <c r="A917" s="51"/>
      <c r="B917" s="59"/>
      <c r="C917" s="59"/>
      <c r="D917" s="59"/>
      <c r="E917" s="59"/>
      <c r="F917" s="59"/>
      <c r="G917" s="59"/>
      <c r="Y917" s="329"/>
    </row>
    <row r="918" spans="1:25" ht="16" hidden="1" customHeight="1">
      <c r="A918" s="51"/>
      <c r="B918" s="59"/>
      <c r="C918" s="59"/>
      <c r="D918" s="59"/>
      <c r="E918" s="59"/>
      <c r="F918" s="59"/>
      <c r="G918" s="59"/>
      <c r="Y918" s="329"/>
    </row>
    <row r="919" spans="1:25" ht="16" hidden="1" customHeight="1">
      <c r="A919" s="51"/>
      <c r="B919" s="59"/>
      <c r="C919" s="59"/>
      <c r="D919" s="59"/>
      <c r="E919" s="59"/>
      <c r="F919" s="59"/>
      <c r="G919" s="59"/>
      <c r="Y919" s="329"/>
    </row>
    <row r="920" spans="1:25" ht="16" hidden="1" customHeight="1">
      <c r="A920" s="51"/>
      <c r="B920" s="59"/>
      <c r="C920" s="59"/>
      <c r="D920" s="59"/>
      <c r="E920" s="59"/>
      <c r="F920" s="59"/>
      <c r="G920" s="59"/>
      <c r="Y920" s="329"/>
    </row>
    <row r="921" spans="1:25" ht="16" hidden="1" customHeight="1">
      <c r="A921" s="51"/>
      <c r="B921" s="59"/>
      <c r="C921" s="59"/>
      <c r="D921" s="59"/>
      <c r="E921" s="59"/>
      <c r="F921" s="59"/>
      <c r="G921" s="59"/>
      <c r="Y921" s="329"/>
    </row>
    <row r="922" spans="1:25" ht="16" hidden="1" customHeight="1">
      <c r="A922" s="51"/>
      <c r="B922" s="59"/>
      <c r="C922" s="59"/>
      <c r="D922" s="59"/>
      <c r="E922" s="59"/>
      <c r="F922" s="59"/>
      <c r="G922" s="59"/>
      <c r="Y922" s="329"/>
    </row>
    <row r="923" spans="1:25" ht="16" hidden="1" customHeight="1">
      <c r="A923" s="51"/>
      <c r="B923" s="59"/>
      <c r="C923" s="59"/>
      <c r="D923" s="59"/>
      <c r="E923" s="59"/>
      <c r="F923" s="59"/>
      <c r="G923" s="59"/>
      <c r="Y923" s="329"/>
    </row>
    <row r="924" spans="1:25" ht="16" hidden="1" customHeight="1">
      <c r="A924" s="51"/>
      <c r="B924" s="59"/>
      <c r="C924" s="59"/>
      <c r="D924" s="59"/>
      <c r="E924" s="59"/>
      <c r="F924" s="59"/>
      <c r="G924" s="59"/>
      <c r="Y924" s="329"/>
    </row>
    <row r="925" spans="1:25" ht="16" hidden="1" customHeight="1">
      <c r="A925" s="51"/>
      <c r="B925" s="59"/>
      <c r="C925" s="59"/>
      <c r="D925" s="59"/>
      <c r="E925" s="59"/>
      <c r="F925" s="59"/>
      <c r="G925" s="59"/>
      <c r="Y925" s="329"/>
    </row>
    <row r="926" spans="1:25" ht="16" hidden="1" customHeight="1">
      <c r="A926" s="51"/>
      <c r="B926" s="59"/>
      <c r="C926" s="59"/>
      <c r="D926" s="59"/>
      <c r="E926" s="59"/>
      <c r="F926" s="59"/>
      <c r="G926" s="59"/>
      <c r="Y926" s="329"/>
    </row>
    <row r="927" spans="1:25" ht="16" hidden="1" customHeight="1">
      <c r="A927" s="51"/>
      <c r="B927" s="59"/>
      <c r="C927" s="59"/>
      <c r="D927" s="59"/>
      <c r="E927" s="59"/>
      <c r="F927" s="59"/>
      <c r="G927" s="59"/>
      <c r="Y927" s="329"/>
    </row>
    <row r="928" spans="1:25" ht="16" hidden="1" customHeight="1">
      <c r="A928" s="51"/>
      <c r="B928" s="59"/>
      <c r="C928" s="59"/>
      <c r="D928" s="59"/>
      <c r="E928" s="59"/>
      <c r="F928" s="59"/>
      <c r="G928" s="59"/>
      <c r="Y928" s="329"/>
    </row>
    <row r="929" spans="1:25" ht="16" hidden="1" customHeight="1">
      <c r="A929" s="51"/>
      <c r="B929" s="59"/>
      <c r="C929" s="59"/>
      <c r="D929" s="59"/>
      <c r="E929" s="59"/>
      <c r="F929" s="59"/>
      <c r="G929" s="59"/>
      <c r="Y929" s="329"/>
    </row>
    <row r="930" spans="1:25" ht="16" hidden="1" customHeight="1">
      <c r="A930" s="51"/>
      <c r="B930" s="59"/>
      <c r="C930" s="59"/>
      <c r="D930" s="59"/>
      <c r="E930" s="59"/>
      <c r="F930" s="59"/>
      <c r="G930" s="59"/>
      <c r="Y930" s="329"/>
    </row>
    <row r="931" spans="1:25" ht="16" hidden="1" customHeight="1">
      <c r="A931" s="51"/>
      <c r="B931" s="59"/>
      <c r="C931" s="59"/>
      <c r="D931" s="59"/>
      <c r="E931" s="59"/>
      <c r="F931" s="59"/>
      <c r="G931" s="59"/>
      <c r="Y931" s="329"/>
    </row>
    <row r="932" spans="1:25" ht="16" hidden="1" customHeight="1">
      <c r="A932" s="51"/>
      <c r="B932" s="59"/>
      <c r="C932" s="59"/>
      <c r="D932" s="59"/>
      <c r="E932" s="59"/>
      <c r="F932" s="59"/>
      <c r="G932" s="59"/>
      <c r="Y932" s="329"/>
    </row>
    <row r="933" spans="1:25" ht="16" hidden="1" customHeight="1">
      <c r="A933" s="51"/>
      <c r="B933" s="59"/>
      <c r="C933" s="59"/>
      <c r="D933" s="59"/>
      <c r="E933" s="59"/>
      <c r="F933" s="59"/>
      <c r="G933" s="59"/>
      <c r="Y933" s="329"/>
    </row>
    <row r="934" spans="1:25" ht="16" hidden="1" customHeight="1">
      <c r="A934" s="51"/>
      <c r="B934" s="59"/>
      <c r="C934" s="59"/>
      <c r="D934" s="59"/>
      <c r="E934" s="59"/>
      <c r="F934" s="59"/>
      <c r="G934" s="59"/>
      <c r="Y934" s="329"/>
    </row>
    <row r="935" spans="1:25" ht="16" hidden="1" customHeight="1">
      <c r="A935" s="51"/>
      <c r="B935" s="59"/>
      <c r="C935" s="59"/>
      <c r="D935" s="59"/>
      <c r="E935" s="59"/>
      <c r="F935" s="59"/>
      <c r="G935" s="59"/>
      <c r="Y935" s="329"/>
    </row>
    <row r="936" spans="1:25" ht="16" hidden="1" customHeight="1">
      <c r="A936" s="51"/>
      <c r="B936" s="59"/>
      <c r="C936" s="59"/>
      <c r="D936" s="59"/>
      <c r="E936" s="59"/>
      <c r="F936" s="59"/>
      <c r="G936" s="59"/>
      <c r="Y936" s="329"/>
    </row>
    <row r="937" spans="1:25" ht="16" hidden="1" customHeight="1">
      <c r="A937" s="51"/>
      <c r="B937" s="59"/>
      <c r="C937" s="59"/>
      <c r="D937" s="59"/>
      <c r="E937" s="59"/>
      <c r="F937" s="59"/>
      <c r="G937" s="59"/>
      <c r="Y937" s="329"/>
    </row>
    <row r="938" spans="1:25" ht="16" hidden="1" customHeight="1">
      <c r="A938" s="51"/>
      <c r="B938" s="59"/>
      <c r="C938" s="59"/>
      <c r="D938" s="59"/>
      <c r="E938" s="59"/>
      <c r="F938" s="59"/>
      <c r="G938" s="59"/>
      <c r="Y938" s="329"/>
    </row>
    <row r="939" spans="1:25" ht="16" hidden="1" customHeight="1">
      <c r="A939" s="51"/>
      <c r="B939" s="59"/>
      <c r="C939" s="59"/>
      <c r="D939" s="59"/>
      <c r="E939" s="59"/>
      <c r="F939" s="59"/>
      <c r="G939" s="59"/>
      <c r="Y939" s="329"/>
    </row>
    <row r="940" spans="1:25" ht="16" hidden="1" customHeight="1">
      <c r="A940" s="51"/>
      <c r="B940" s="59"/>
      <c r="C940" s="59"/>
      <c r="D940" s="59"/>
      <c r="E940" s="59"/>
      <c r="F940" s="59"/>
      <c r="G940" s="59"/>
      <c r="Y940" s="329"/>
    </row>
    <row r="941" spans="1:25" ht="16" hidden="1" customHeight="1">
      <c r="A941" s="51"/>
      <c r="B941" s="59"/>
      <c r="C941" s="59"/>
      <c r="D941" s="59"/>
      <c r="E941" s="59"/>
      <c r="F941" s="59"/>
      <c r="G941" s="59"/>
      <c r="Y941" s="329"/>
    </row>
    <row r="942" spans="1:25" ht="16" hidden="1" customHeight="1">
      <c r="A942" s="51"/>
      <c r="B942" s="59"/>
      <c r="C942" s="59"/>
      <c r="D942" s="59"/>
      <c r="E942" s="59"/>
      <c r="F942" s="59"/>
      <c r="G942" s="59"/>
      <c r="Y942" s="329"/>
    </row>
    <row r="943" spans="1:25" ht="16" hidden="1" customHeight="1">
      <c r="A943" s="51"/>
      <c r="B943" s="59"/>
      <c r="C943" s="59"/>
      <c r="D943" s="59"/>
      <c r="E943" s="59"/>
      <c r="F943" s="59"/>
      <c r="G943" s="59"/>
      <c r="Y943" s="329"/>
    </row>
    <row r="944" spans="1:25" ht="16" hidden="1" customHeight="1">
      <c r="A944" s="51"/>
      <c r="B944" s="59"/>
      <c r="C944" s="59"/>
      <c r="D944" s="59"/>
      <c r="E944" s="59"/>
      <c r="F944" s="59"/>
      <c r="G944" s="59"/>
      <c r="Y944" s="329"/>
    </row>
    <row r="945" spans="1:25" ht="16" hidden="1" customHeight="1">
      <c r="A945" s="51"/>
      <c r="B945" s="59"/>
      <c r="C945" s="59"/>
      <c r="D945" s="59"/>
      <c r="E945" s="59"/>
      <c r="F945" s="59"/>
      <c r="G945" s="59"/>
      <c r="Y945" s="329"/>
    </row>
    <row r="946" spans="1:25" ht="16" hidden="1" customHeight="1">
      <c r="A946" s="51"/>
      <c r="B946" s="59"/>
      <c r="C946" s="59"/>
      <c r="D946" s="59"/>
      <c r="E946" s="59"/>
      <c r="F946" s="59"/>
      <c r="G946" s="59"/>
      <c r="Y946" s="329"/>
    </row>
    <row r="947" spans="1:25" ht="16" hidden="1" customHeight="1">
      <c r="A947" s="51"/>
      <c r="B947" s="59"/>
      <c r="C947" s="59"/>
      <c r="D947" s="59"/>
      <c r="E947" s="59"/>
      <c r="F947" s="59"/>
      <c r="G947" s="59"/>
      <c r="Y947" s="329"/>
    </row>
    <row r="948" spans="1:25" ht="16" hidden="1" customHeight="1">
      <c r="A948" s="51"/>
      <c r="B948" s="59"/>
      <c r="C948" s="59"/>
      <c r="D948" s="59"/>
      <c r="E948" s="59"/>
      <c r="F948" s="59"/>
      <c r="G948" s="59"/>
      <c r="Y948" s="329"/>
    </row>
    <row r="949" spans="1:25" ht="16" hidden="1" customHeight="1">
      <c r="A949" s="51"/>
      <c r="B949" s="59"/>
      <c r="C949" s="59"/>
      <c r="D949" s="59"/>
      <c r="E949" s="59"/>
      <c r="F949" s="59"/>
      <c r="G949" s="59"/>
      <c r="Y949" s="329"/>
    </row>
    <row r="950" spans="1:25" ht="16" hidden="1" customHeight="1">
      <c r="A950" s="51"/>
      <c r="B950" s="59"/>
      <c r="C950" s="59"/>
      <c r="D950" s="59"/>
      <c r="E950" s="59"/>
      <c r="F950" s="59"/>
      <c r="G950" s="59"/>
      <c r="Y950" s="329"/>
    </row>
    <row r="951" spans="1:25" ht="16" hidden="1" customHeight="1">
      <c r="A951" s="51"/>
      <c r="B951" s="59"/>
      <c r="C951" s="59"/>
      <c r="D951" s="59"/>
      <c r="E951" s="59"/>
      <c r="F951" s="59"/>
      <c r="G951" s="59"/>
      <c r="Y951" s="329"/>
    </row>
    <row r="952" spans="1:25" ht="16" hidden="1" customHeight="1">
      <c r="A952" s="51"/>
      <c r="B952" s="59"/>
      <c r="C952" s="59"/>
      <c r="D952" s="59"/>
      <c r="E952" s="59"/>
      <c r="F952" s="59"/>
      <c r="G952" s="59"/>
      <c r="Y952" s="329"/>
    </row>
    <row r="953" spans="1:25" ht="16" hidden="1" customHeight="1">
      <c r="A953" s="51"/>
      <c r="B953" s="59"/>
      <c r="C953" s="59"/>
      <c r="D953" s="59"/>
      <c r="E953" s="59"/>
      <c r="F953" s="59"/>
      <c r="G953" s="59"/>
      <c r="Y953" s="329"/>
    </row>
    <row r="954" spans="1:25" ht="16" hidden="1" customHeight="1">
      <c r="A954" s="51"/>
      <c r="B954" s="59"/>
      <c r="C954" s="59"/>
      <c r="D954" s="59"/>
      <c r="E954" s="59"/>
      <c r="F954" s="59"/>
      <c r="G954" s="59"/>
      <c r="Y954" s="329"/>
    </row>
    <row r="955" spans="1:25" ht="16" hidden="1" customHeight="1">
      <c r="A955" s="51"/>
      <c r="B955" s="59"/>
      <c r="C955" s="59"/>
      <c r="D955" s="59"/>
      <c r="E955" s="59"/>
      <c r="F955" s="59"/>
      <c r="G955" s="59"/>
      <c r="Y955" s="329"/>
    </row>
    <row r="956" spans="1:25" ht="16" hidden="1" customHeight="1">
      <c r="A956" s="51"/>
      <c r="B956" s="59"/>
      <c r="C956" s="59"/>
      <c r="D956" s="59"/>
      <c r="E956" s="59"/>
      <c r="F956" s="59"/>
      <c r="G956" s="59"/>
      <c r="Y956" s="329"/>
    </row>
    <row r="957" spans="1:25" ht="16" hidden="1" customHeight="1">
      <c r="A957" s="51"/>
      <c r="B957" s="59"/>
      <c r="C957" s="59"/>
      <c r="D957" s="59"/>
      <c r="E957" s="59"/>
      <c r="F957" s="59"/>
      <c r="G957" s="59"/>
      <c r="Y957" s="329"/>
    </row>
    <row r="958" spans="1:25" ht="16" hidden="1" customHeight="1">
      <c r="A958" s="51"/>
      <c r="B958" s="59"/>
      <c r="C958" s="59"/>
      <c r="D958" s="59"/>
      <c r="E958" s="59"/>
      <c r="F958" s="59"/>
      <c r="G958" s="59"/>
      <c r="Y958" s="329"/>
    </row>
    <row r="959" spans="1:25" ht="16" hidden="1" customHeight="1">
      <c r="A959" s="51"/>
      <c r="B959" s="59"/>
      <c r="C959" s="59"/>
      <c r="D959" s="59"/>
      <c r="E959" s="59"/>
      <c r="F959" s="59"/>
      <c r="G959" s="59"/>
      <c r="Y959" s="329"/>
    </row>
    <row r="960" spans="1:25" ht="16" hidden="1" customHeight="1">
      <c r="A960" s="51"/>
      <c r="B960" s="59"/>
      <c r="C960" s="59"/>
      <c r="D960" s="59"/>
      <c r="E960" s="59"/>
      <c r="F960" s="59"/>
      <c r="G960" s="59"/>
      <c r="Y960" s="329"/>
    </row>
    <row r="961" spans="1:25" ht="16" hidden="1" customHeight="1">
      <c r="A961" s="51"/>
      <c r="B961" s="59"/>
      <c r="C961" s="59"/>
      <c r="D961" s="59"/>
      <c r="E961" s="59"/>
      <c r="F961" s="59"/>
      <c r="G961" s="59"/>
      <c r="Y961" s="329"/>
    </row>
    <row r="962" spans="1:25" ht="16" hidden="1" customHeight="1">
      <c r="A962" s="51"/>
      <c r="B962" s="59"/>
      <c r="C962" s="59"/>
      <c r="D962" s="59"/>
      <c r="E962" s="59"/>
      <c r="F962" s="59"/>
      <c r="G962" s="59"/>
      <c r="Y962" s="329"/>
    </row>
    <row r="963" spans="1:25" ht="16" hidden="1" customHeight="1">
      <c r="A963" s="51"/>
      <c r="B963" s="59"/>
      <c r="C963" s="59"/>
      <c r="D963" s="59"/>
      <c r="E963" s="59"/>
      <c r="F963" s="59"/>
      <c r="G963" s="59"/>
      <c r="Y963" s="329"/>
    </row>
    <row r="964" spans="1:25" ht="16" hidden="1" customHeight="1">
      <c r="A964" s="51"/>
      <c r="B964" s="59"/>
      <c r="C964" s="59"/>
      <c r="D964" s="59"/>
      <c r="E964" s="59"/>
      <c r="F964" s="59"/>
      <c r="G964" s="59"/>
      <c r="Y964" s="329"/>
    </row>
    <row r="965" spans="1:25" ht="16" hidden="1" customHeight="1">
      <c r="A965" s="51"/>
      <c r="B965" s="59"/>
      <c r="C965" s="59"/>
      <c r="D965" s="59"/>
      <c r="E965" s="59"/>
      <c r="F965" s="59"/>
      <c r="G965" s="59"/>
      <c r="Y965" s="329"/>
    </row>
    <row r="966" spans="1:25" ht="16" hidden="1" customHeight="1">
      <c r="A966" s="51"/>
      <c r="B966" s="59"/>
      <c r="C966" s="59"/>
      <c r="D966" s="59"/>
      <c r="E966" s="59"/>
      <c r="F966" s="59"/>
      <c r="G966" s="59"/>
      <c r="Y966" s="329"/>
    </row>
    <row r="967" spans="1:25" ht="16" hidden="1" customHeight="1">
      <c r="A967" s="51"/>
      <c r="B967" s="59"/>
      <c r="C967" s="59"/>
      <c r="D967" s="59"/>
      <c r="E967" s="59"/>
      <c r="F967" s="59"/>
      <c r="G967" s="59"/>
      <c r="Y967" s="329"/>
    </row>
    <row r="968" spans="1:25" ht="16" hidden="1" customHeight="1">
      <c r="A968" s="51"/>
      <c r="B968" s="59"/>
      <c r="C968" s="59"/>
      <c r="D968" s="59"/>
      <c r="E968" s="59"/>
      <c r="F968" s="59"/>
      <c r="G968" s="59"/>
      <c r="Y968" s="329"/>
    </row>
    <row r="969" spans="1:25" ht="16" hidden="1" customHeight="1">
      <c r="A969" s="51"/>
      <c r="B969" s="59"/>
      <c r="C969" s="59"/>
      <c r="D969" s="59"/>
      <c r="E969" s="59"/>
      <c r="F969" s="59"/>
      <c r="G969" s="59"/>
      <c r="Y969" s="329"/>
    </row>
    <row r="970" spans="1:25" ht="16" hidden="1" customHeight="1">
      <c r="A970" s="51"/>
      <c r="B970" s="59"/>
      <c r="C970" s="59"/>
      <c r="D970" s="59"/>
      <c r="E970" s="59"/>
      <c r="F970" s="59"/>
      <c r="G970" s="59"/>
      <c r="Y970" s="329"/>
    </row>
    <row r="971" spans="1:25" ht="16" hidden="1" customHeight="1">
      <c r="A971" s="51"/>
      <c r="B971" s="59"/>
      <c r="C971" s="59"/>
      <c r="D971" s="59"/>
      <c r="E971" s="59"/>
      <c r="F971" s="59"/>
      <c r="G971" s="59"/>
      <c r="Y971" s="329"/>
    </row>
    <row r="972" spans="1:25" ht="16" hidden="1" customHeight="1">
      <c r="A972" s="51"/>
      <c r="B972" s="59"/>
      <c r="C972" s="59"/>
      <c r="D972" s="59"/>
      <c r="E972" s="59"/>
      <c r="F972" s="59"/>
      <c r="G972" s="59"/>
      <c r="Y972" s="329"/>
    </row>
    <row r="973" spans="1:25" ht="16" hidden="1" customHeight="1">
      <c r="A973" s="51"/>
      <c r="B973" s="59"/>
      <c r="C973" s="59"/>
      <c r="D973" s="59"/>
      <c r="E973" s="59"/>
      <c r="F973" s="59"/>
      <c r="G973" s="59"/>
      <c r="Y973" s="329"/>
    </row>
    <row r="974" spans="1:25" ht="16" hidden="1" customHeight="1">
      <c r="A974" s="51"/>
      <c r="B974" s="59"/>
      <c r="C974" s="59"/>
      <c r="D974" s="59"/>
      <c r="E974" s="59"/>
      <c r="F974" s="59"/>
      <c r="G974" s="59"/>
      <c r="Y974" s="329"/>
    </row>
    <row r="975" spans="1:25" ht="16" hidden="1" customHeight="1">
      <c r="A975" s="51"/>
      <c r="B975" s="59"/>
      <c r="C975" s="59"/>
      <c r="D975" s="59"/>
      <c r="E975" s="59"/>
      <c r="F975" s="59"/>
      <c r="G975" s="59"/>
      <c r="Y975" s="329"/>
    </row>
    <row r="976" spans="1:25" ht="16" hidden="1" customHeight="1">
      <c r="A976" s="51"/>
      <c r="B976" s="59"/>
      <c r="C976" s="59"/>
      <c r="D976" s="59"/>
      <c r="E976" s="59"/>
      <c r="F976" s="59"/>
      <c r="G976" s="59"/>
      <c r="Y976" s="329"/>
    </row>
    <row r="977" spans="1:25" ht="16" hidden="1" customHeight="1">
      <c r="A977" s="51"/>
      <c r="B977" s="59"/>
      <c r="C977" s="59"/>
      <c r="D977" s="59"/>
      <c r="E977" s="59"/>
      <c r="F977" s="59"/>
      <c r="G977" s="59"/>
      <c r="Y977" s="329"/>
    </row>
    <row r="978" spans="1:25" ht="16" hidden="1" customHeight="1">
      <c r="A978" s="51"/>
      <c r="B978" s="59"/>
      <c r="C978" s="59"/>
      <c r="D978" s="59"/>
      <c r="E978" s="59"/>
      <c r="F978" s="59"/>
      <c r="G978" s="59"/>
      <c r="Y978" s="329"/>
    </row>
    <row r="979" spans="1:25" ht="16" hidden="1" customHeight="1">
      <c r="A979" s="51"/>
      <c r="B979" s="59"/>
      <c r="C979" s="59"/>
      <c r="D979" s="59"/>
      <c r="E979" s="59"/>
      <c r="F979" s="59"/>
      <c r="G979" s="59"/>
      <c r="Y979" s="329"/>
    </row>
    <row r="980" spans="1:25" ht="16" hidden="1" customHeight="1">
      <c r="A980" s="51"/>
      <c r="B980" s="59"/>
      <c r="C980" s="59"/>
      <c r="D980" s="59"/>
      <c r="E980" s="59"/>
      <c r="F980" s="59"/>
      <c r="G980" s="59"/>
      <c r="Y980" s="329"/>
    </row>
    <row r="981" spans="1:25" ht="16" hidden="1" customHeight="1">
      <c r="A981" s="51"/>
      <c r="B981" s="59"/>
      <c r="C981" s="59"/>
      <c r="D981" s="59"/>
      <c r="E981" s="59"/>
      <c r="F981" s="59"/>
      <c r="G981" s="59"/>
      <c r="Y981" s="329"/>
    </row>
    <row r="982" spans="1:25" ht="16" hidden="1" customHeight="1">
      <c r="A982" s="51"/>
      <c r="B982" s="59"/>
      <c r="C982" s="59"/>
      <c r="D982" s="59"/>
      <c r="E982" s="59"/>
      <c r="F982" s="59"/>
      <c r="G982" s="59"/>
      <c r="Y982" s="329"/>
    </row>
    <row r="983" spans="1:25" ht="16" hidden="1" customHeight="1">
      <c r="A983" s="51"/>
      <c r="B983" s="59"/>
      <c r="C983" s="59"/>
      <c r="D983" s="59"/>
      <c r="E983" s="59"/>
      <c r="F983" s="59"/>
      <c r="G983" s="59"/>
      <c r="Y983" s="329"/>
    </row>
    <row r="984" spans="1:25" ht="16" hidden="1" customHeight="1">
      <c r="A984" s="51"/>
      <c r="B984" s="59"/>
      <c r="C984" s="59"/>
      <c r="D984" s="59"/>
      <c r="E984" s="59"/>
      <c r="F984" s="59"/>
      <c r="G984" s="59"/>
      <c r="Y984" s="329"/>
    </row>
    <row r="985" spans="1:25" ht="16" hidden="1" customHeight="1">
      <c r="A985" s="51"/>
      <c r="B985" s="59"/>
      <c r="C985" s="59"/>
      <c r="D985" s="59"/>
      <c r="E985" s="59"/>
      <c r="F985" s="59"/>
      <c r="G985" s="59"/>
      <c r="Y985" s="329"/>
    </row>
    <row r="986" spans="1:25" ht="16" hidden="1" customHeight="1">
      <c r="A986" s="51"/>
      <c r="B986" s="59"/>
      <c r="C986" s="59"/>
      <c r="D986" s="59"/>
      <c r="E986" s="59"/>
      <c r="F986" s="59"/>
      <c r="G986" s="59"/>
      <c r="Y986" s="329"/>
    </row>
    <row r="987" spans="1:25" ht="16" hidden="1" customHeight="1">
      <c r="A987" s="51"/>
      <c r="B987" s="59"/>
      <c r="C987" s="59"/>
      <c r="D987" s="59"/>
      <c r="E987" s="59"/>
      <c r="F987" s="59"/>
      <c r="G987" s="59"/>
      <c r="Y987" s="329"/>
    </row>
    <row r="988" spans="1:25" ht="16" hidden="1" customHeight="1">
      <c r="A988" s="51"/>
      <c r="B988" s="59"/>
      <c r="C988" s="59"/>
      <c r="D988" s="59"/>
      <c r="E988" s="59"/>
      <c r="F988" s="59"/>
      <c r="G988" s="59"/>
      <c r="Y988" s="329"/>
    </row>
    <row r="989" spans="1:25" ht="16" hidden="1" customHeight="1">
      <c r="A989" s="51"/>
      <c r="B989" s="59"/>
      <c r="C989" s="59"/>
      <c r="D989" s="59"/>
      <c r="E989" s="59"/>
      <c r="F989" s="59"/>
      <c r="G989" s="59"/>
      <c r="Y989" s="329"/>
    </row>
    <row r="990" spans="1:25" ht="16" hidden="1" customHeight="1">
      <c r="A990" s="51"/>
      <c r="B990" s="59"/>
      <c r="C990" s="59"/>
      <c r="D990" s="59"/>
      <c r="E990" s="59"/>
      <c r="F990" s="59"/>
      <c r="G990" s="59"/>
      <c r="Y990" s="329"/>
    </row>
    <row r="991" spans="1:25" ht="16" hidden="1" customHeight="1">
      <c r="A991" s="51"/>
      <c r="B991" s="59"/>
      <c r="C991" s="59"/>
      <c r="D991" s="59"/>
      <c r="E991" s="59"/>
      <c r="F991" s="59"/>
      <c r="G991" s="59"/>
      <c r="Y991" s="329"/>
    </row>
    <row r="992" spans="1:25" ht="16" hidden="1" customHeight="1">
      <c r="A992" s="51"/>
      <c r="B992" s="59"/>
      <c r="C992" s="59"/>
      <c r="D992" s="59"/>
      <c r="E992" s="59"/>
      <c r="F992" s="59"/>
      <c r="G992" s="59"/>
      <c r="Y992" s="329"/>
    </row>
    <row r="993" spans="1:25" ht="16" hidden="1" customHeight="1">
      <c r="A993" s="51"/>
      <c r="B993" s="59"/>
      <c r="C993" s="59"/>
      <c r="D993" s="59"/>
      <c r="E993" s="59"/>
      <c r="F993" s="59"/>
      <c r="G993" s="59"/>
      <c r="Y993" s="329"/>
    </row>
    <row r="994" spans="1:25" ht="16" hidden="1" customHeight="1">
      <c r="A994" s="51"/>
      <c r="B994" s="59"/>
      <c r="C994" s="59"/>
      <c r="D994" s="59"/>
      <c r="E994" s="59"/>
      <c r="F994" s="59"/>
      <c r="G994" s="59"/>
      <c r="Y994" s="329"/>
    </row>
    <row r="995" spans="1:25" ht="16" hidden="1" customHeight="1">
      <c r="A995" s="51"/>
      <c r="B995" s="59"/>
      <c r="C995" s="59"/>
      <c r="D995" s="59"/>
      <c r="E995" s="59"/>
      <c r="F995" s="59"/>
      <c r="G995" s="59"/>
      <c r="Y995" s="329"/>
    </row>
    <row r="996" spans="1:25" ht="16" hidden="1" customHeight="1">
      <c r="A996" s="51"/>
      <c r="B996" s="59"/>
      <c r="C996" s="59"/>
      <c r="D996" s="59"/>
      <c r="E996" s="59"/>
      <c r="F996" s="59"/>
      <c r="G996" s="59"/>
      <c r="Y996" s="329"/>
    </row>
    <row r="997" spans="1:25" ht="16" hidden="1" customHeight="1">
      <c r="A997" s="51"/>
      <c r="B997" s="59"/>
      <c r="C997" s="59"/>
      <c r="D997" s="59"/>
      <c r="E997" s="59"/>
      <c r="F997" s="59"/>
      <c r="G997" s="59"/>
      <c r="Y997" s="329"/>
    </row>
    <row r="998" spans="1:25" ht="16" hidden="1" customHeight="1">
      <c r="A998" s="51"/>
      <c r="B998" s="59"/>
      <c r="C998" s="59"/>
      <c r="D998" s="59"/>
      <c r="E998" s="59"/>
      <c r="F998" s="59"/>
      <c r="G998" s="59"/>
      <c r="Y998" s="329"/>
    </row>
    <row r="999" spans="1:25" ht="16" hidden="1" customHeight="1">
      <c r="A999" s="51"/>
      <c r="B999" s="59"/>
      <c r="C999" s="59"/>
      <c r="D999" s="59"/>
      <c r="E999" s="59"/>
      <c r="F999" s="59"/>
      <c r="G999" s="59"/>
      <c r="Y999" s="329"/>
    </row>
    <row r="1000" spans="1:25" ht="16" hidden="1" customHeight="1">
      <c r="A1000" s="51"/>
      <c r="B1000" s="59"/>
      <c r="C1000" s="59"/>
      <c r="D1000" s="59"/>
      <c r="E1000" s="59"/>
      <c r="F1000" s="59"/>
      <c r="G1000" s="59"/>
      <c r="Y1000" s="329"/>
    </row>
    <row r="1001" spans="1:25" ht="16" hidden="1" customHeight="1">
      <c r="A1001" s="51"/>
      <c r="B1001" s="59"/>
      <c r="C1001" s="59"/>
      <c r="D1001" s="59"/>
      <c r="E1001" s="59"/>
      <c r="F1001" s="59"/>
      <c r="G1001" s="59"/>
      <c r="Y1001" s="329"/>
    </row>
    <row r="1002" spans="1:25" ht="16" hidden="1" customHeight="1">
      <c r="A1002" s="51"/>
      <c r="B1002" s="59"/>
      <c r="C1002" s="59"/>
      <c r="D1002" s="59"/>
      <c r="E1002" s="59"/>
      <c r="F1002" s="59"/>
      <c r="G1002" s="59"/>
      <c r="Y1002" s="329"/>
    </row>
    <row r="1003" spans="1:25" ht="16" hidden="1" customHeight="1">
      <c r="A1003" s="51"/>
      <c r="B1003" s="59"/>
      <c r="C1003" s="59"/>
      <c r="D1003" s="59"/>
      <c r="E1003" s="59"/>
      <c r="F1003" s="59"/>
      <c r="G1003" s="59"/>
      <c r="Y1003" s="329"/>
    </row>
    <row r="1004" spans="1:25" ht="16" hidden="1" customHeight="1">
      <c r="A1004" s="51"/>
      <c r="B1004" s="59"/>
      <c r="C1004" s="59"/>
      <c r="D1004" s="59"/>
      <c r="E1004" s="59"/>
      <c r="F1004" s="59"/>
      <c r="G1004" s="59"/>
      <c r="Y1004" s="329"/>
    </row>
    <row r="1005" spans="1:25" ht="16" hidden="1" customHeight="1">
      <c r="A1005" s="51"/>
      <c r="B1005" s="59"/>
      <c r="C1005" s="59"/>
      <c r="D1005" s="59"/>
      <c r="E1005" s="59"/>
      <c r="F1005" s="59"/>
      <c r="G1005" s="59"/>
      <c r="Y1005" s="329"/>
    </row>
    <row r="1006" spans="1:25" ht="16" hidden="1" customHeight="1">
      <c r="A1006" s="51"/>
      <c r="B1006" s="59"/>
      <c r="C1006" s="59"/>
      <c r="D1006" s="59"/>
      <c r="E1006" s="59"/>
      <c r="F1006" s="59"/>
      <c r="G1006" s="59"/>
      <c r="Y1006" s="329"/>
    </row>
    <row r="1007" spans="1:25" ht="16" hidden="1" customHeight="1">
      <c r="A1007" s="51"/>
      <c r="B1007" s="59"/>
      <c r="C1007" s="59"/>
      <c r="D1007" s="59"/>
      <c r="E1007" s="59"/>
      <c r="F1007" s="59"/>
      <c r="G1007" s="59"/>
      <c r="Y1007" s="329"/>
    </row>
    <row r="1008" spans="1:25" ht="16" hidden="1" customHeight="1">
      <c r="A1008" s="51"/>
      <c r="B1008" s="59"/>
      <c r="C1008" s="59"/>
      <c r="D1008" s="59"/>
      <c r="E1008" s="59"/>
      <c r="F1008" s="59"/>
      <c r="G1008" s="59"/>
      <c r="Y1008" s="329"/>
    </row>
    <row r="1009" spans="1:25" ht="16" hidden="1" customHeight="1">
      <c r="A1009" s="51"/>
      <c r="B1009" s="59"/>
      <c r="C1009" s="59"/>
      <c r="D1009" s="59"/>
      <c r="E1009" s="59"/>
      <c r="F1009" s="59"/>
      <c r="G1009" s="59"/>
      <c r="Y1009" s="329"/>
    </row>
    <row r="1010" spans="1:25" ht="16" hidden="1" customHeight="1">
      <c r="A1010" s="51"/>
      <c r="B1010" s="59"/>
      <c r="C1010" s="59"/>
      <c r="D1010" s="59"/>
      <c r="E1010" s="59"/>
      <c r="F1010" s="59"/>
      <c r="G1010" s="59"/>
      <c r="Y1010" s="329"/>
    </row>
    <row r="1011" spans="1:25" ht="16" hidden="1" customHeight="1">
      <c r="A1011" s="51"/>
      <c r="B1011" s="59"/>
      <c r="C1011" s="59"/>
      <c r="D1011" s="59"/>
      <c r="E1011" s="59"/>
      <c r="F1011" s="59"/>
      <c r="G1011" s="59"/>
      <c r="Y1011" s="329"/>
    </row>
    <row r="1012" spans="1:25" ht="16" hidden="1" customHeight="1">
      <c r="A1012" s="51"/>
      <c r="B1012" s="59"/>
      <c r="C1012" s="59"/>
      <c r="D1012" s="59"/>
      <c r="E1012" s="59"/>
      <c r="F1012" s="59"/>
      <c r="G1012" s="59"/>
      <c r="Y1012" s="329"/>
    </row>
    <row r="1013" spans="1:25" ht="16" hidden="1" customHeight="1">
      <c r="A1013" s="51"/>
      <c r="B1013" s="59"/>
      <c r="C1013" s="59"/>
      <c r="D1013" s="59"/>
      <c r="E1013" s="59"/>
      <c r="F1013" s="59"/>
      <c r="G1013" s="59"/>
      <c r="Y1013" s="329"/>
    </row>
    <row r="1014" spans="1:25" ht="16" hidden="1" customHeight="1">
      <c r="A1014" s="51"/>
      <c r="B1014" s="59"/>
      <c r="C1014" s="59"/>
      <c r="D1014" s="59"/>
      <c r="E1014" s="59"/>
      <c r="F1014" s="59"/>
      <c r="G1014" s="59"/>
      <c r="Y1014" s="329"/>
    </row>
    <row r="1015" spans="1:25" ht="16" hidden="1" customHeight="1">
      <c r="A1015" s="51"/>
      <c r="B1015" s="59"/>
      <c r="C1015" s="59"/>
      <c r="D1015" s="59"/>
      <c r="E1015" s="59"/>
      <c r="F1015" s="59"/>
      <c r="G1015" s="59"/>
      <c r="Y1015" s="329"/>
    </row>
    <row r="1016" spans="1:25" ht="16" hidden="1" customHeight="1">
      <c r="A1016" s="51"/>
      <c r="B1016" s="59"/>
      <c r="C1016" s="59"/>
      <c r="D1016" s="59"/>
      <c r="E1016" s="59"/>
      <c r="F1016" s="59"/>
      <c r="G1016" s="59"/>
      <c r="Y1016" s="329"/>
    </row>
    <row r="1017" spans="1:25" ht="16" hidden="1" customHeight="1">
      <c r="A1017" s="51"/>
      <c r="B1017" s="59"/>
      <c r="C1017" s="59"/>
      <c r="D1017" s="59"/>
      <c r="E1017" s="59"/>
      <c r="F1017" s="59"/>
      <c r="G1017" s="59"/>
      <c r="Y1017" s="329"/>
    </row>
    <row r="1018" spans="1:25" ht="16" hidden="1" customHeight="1">
      <c r="A1018" s="51"/>
      <c r="B1018" s="59"/>
      <c r="C1018" s="59"/>
      <c r="D1018" s="59"/>
      <c r="E1018" s="59"/>
      <c r="F1018" s="59"/>
      <c r="G1018" s="59"/>
      <c r="Y1018" s="329"/>
    </row>
    <row r="1019" spans="1:25" ht="16" hidden="1" customHeight="1">
      <c r="A1019" s="51"/>
      <c r="B1019" s="59"/>
      <c r="C1019" s="59"/>
      <c r="D1019" s="59"/>
      <c r="E1019" s="59"/>
      <c r="F1019" s="59"/>
      <c r="G1019" s="59"/>
      <c r="Y1019" s="329"/>
    </row>
    <row r="1020" spans="1:25" ht="16" hidden="1" customHeight="1">
      <c r="A1020" s="51"/>
      <c r="B1020" s="59"/>
      <c r="C1020" s="59"/>
      <c r="D1020" s="59"/>
      <c r="E1020" s="59"/>
      <c r="F1020" s="59"/>
      <c r="G1020" s="59"/>
      <c r="Y1020" s="329"/>
    </row>
    <row r="1021" spans="1:25" ht="16" hidden="1" customHeight="1">
      <c r="A1021" s="51"/>
      <c r="B1021" s="59"/>
      <c r="C1021" s="59"/>
      <c r="D1021" s="59"/>
      <c r="E1021" s="59"/>
      <c r="F1021" s="59"/>
      <c r="G1021" s="59"/>
      <c r="Y1021" s="329"/>
    </row>
    <row r="1022" spans="1:25" ht="16" hidden="1" customHeight="1">
      <c r="A1022" s="51"/>
      <c r="B1022" s="59"/>
      <c r="C1022" s="59"/>
      <c r="D1022" s="59"/>
      <c r="E1022" s="59"/>
      <c r="F1022" s="59"/>
      <c r="G1022" s="59"/>
      <c r="Y1022" s="329"/>
    </row>
    <row r="1023" spans="1:25" ht="16" hidden="1" customHeight="1">
      <c r="A1023" s="51"/>
      <c r="B1023" s="59"/>
      <c r="C1023" s="59"/>
      <c r="D1023" s="59"/>
      <c r="E1023" s="59"/>
      <c r="F1023" s="59"/>
      <c r="G1023" s="59"/>
      <c r="Y1023" s="329"/>
    </row>
    <row r="1024" spans="1:25" ht="16" hidden="1" customHeight="1">
      <c r="A1024" s="51"/>
      <c r="B1024" s="59"/>
      <c r="C1024" s="59"/>
      <c r="D1024" s="59"/>
      <c r="E1024" s="59"/>
      <c r="F1024" s="59"/>
      <c r="G1024" s="59"/>
      <c r="Y1024" s="329"/>
    </row>
    <row r="1025" spans="1:25" ht="16" hidden="1" customHeight="1">
      <c r="A1025" s="51"/>
      <c r="B1025" s="59"/>
      <c r="C1025" s="59"/>
      <c r="D1025" s="59"/>
      <c r="E1025" s="59"/>
      <c r="F1025" s="59"/>
      <c r="G1025" s="59"/>
      <c r="Y1025" s="329"/>
    </row>
    <row r="1026" spans="1:25" ht="16" hidden="1" customHeight="1">
      <c r="A1026" s="51"/>
      <c r="B1026" s="59"/>
      <c r="C1026" s="59"/>
      <c r="D1026" s="59"/>
      <c r="E1026" s="59"/>
      <c r="F1026" s="59"/>
      <c r="G1026" s="59"/>
      <c r="Y1026" s="329"/>
    </row>
    <row r="1027" spans="1:25" ht="16" hidden="1" customHeight="1">
      <c r="A1027" s="51"/>
      <c r="B1027" s="59"/>
      <c r="C1027" s="59"/>
      <c r="D1027" s="59"/>
      <c r="E1027" s="59"/>
      <c r="F1027" s="59"/>
      <c r="G1027" s="59"/>
      <c r="Y1027" s="329"/>
    </row>
    <row r="1028" spans="1:25" ht="16" hidden="1" customHeight="1">
      <c r="A1028" s="51"/>
      <c r="B1028" s="59"/>
      <c r="C1028" s="59"/>
      <c r="D1028" s="59"/>
      <c r="E1028" s="59"/>
      <c r="F1028" s="59"/>
      <c r="G1028" s="59"/>
      <c r="Y1028" s="329"/>
    </row>
    <row r="1029" spans="1:25" ht="16" hidden="1" customHeight="1">
      <c r="A1029" s="51"/>
      <c r="B1029" s="59"/>
      <c r="C1029" s="59"/>
      <c r="D1029" s="59"/>
      <c r="E1029" s="59"/>
      <c r="F1029" s="59"/>
      <c r="G1029" s="59"/>
      <c r="Y1029" s="329"/>
    </row>
    <row r="1030" spans="1:25" ht="16" hidden="1" customHeight="1">
      <c r="A1030" s="51"/>
      <c r="B1030" s="59"/>
      <c r="C1030" s="59"/>
      <c r="D1030" s="59"/>
      <c r="E1030" s="59"/>
      <c r="F1030" s="59"/>
      <c r="G1030" s="59"/>
      <c r="Y1030" s="329"/>
    </row>
    <row r="1031" spans="1:25" ht="16" hidden="1" customHeight="1">
      <c r="A1031" s="51"/>
      <c r="B1031" s="59"/>
      <c r="C1031" s="59"/>
      <c r="D1031" s="59"/>
      <c r="E1031" s="59"/>
      <c r="F1031" s="59"/>
      <c r="G1031" s="59"/>
      <c r="Y1031" s="329"/>
    </row>
    <row r="1032" spans="1:25" ht="16" hidden="1" customHeight="1">
      <c r="A1032" s="51"/>
      <c r="B1032" s="59"/>
      <c r="C1032" s="59"/>
      <c r="D1032" s="59"/>
      <c r="E1032" s="59"/>
      <c r="F1032" s="59"/>
      <c r="G1032" s="59"/>
      <c r="Y1032" s="329"/>
    </row>
    <row r="1033" spans="1:25" ht="15.75" customHeight="1">
      <c r="A1033" s="61" t="s">
        <v>54</v>
      </c>
      <c r="B1033" s="53"/>
      <c r="C1033" s="54"/>
      <c r="D1033" s="55"/>
      <c r="E1033" s="54"/>
      <c r="F1033" s="54"/>
      <c r="G1033" s="54"/>
      <c r="Y1033" s="329"/>
    </row>
    <row r="1034" spans="1:25" ht="18">
      <c r="A1034" s="50" t="s">
        <v>316</v>
      </c>
      <c r="B1034" s="60" t="s">
        <v>317</v>
      </c>
      <c r="C1034" s="56"/>
      <c r="D1034" s="57"/>
      <c r="E1034" s="325" t="b">
        <v>0</v>
      </c>
      <c r="F1034" s="56"/>
      <c r="G1034" s="56"/>
      <c r="Y1034" s="329"/>
    </row>
    <row r="1035" spans="1:25" ht="18">
      <c r="A1035" s="50" t="s">
        <v>54</v>
      </c>
      <c r="B1035" s="56" t="s">
        <v>318</v>
      </c>
      <c r="C1035" s="56"/>
      <c r="D1035" s="57"/>
      <c r="E1035" s="325" t="b">
        <v>0</v>
      </c>
      <c r="F1035" s="56"/>
      <c r="G1035" s="56"/>
      <c r="Y1035" s="329"/>
    </row>
    <row r="1036" spans="1:25" ht="18">
      <c r="A1036" s="50"/>
      <c r="B1036" s="56"/>
      <c r="C1036" s="56"/>
      <c r="D1036" s="57"/>
      <c r="E1036" s="325" t="b">
        <v>0</v>
      </c>
      <c r="F1036" s="56"/>
      <c r="G1036" s="56"/>
      <c r="Y1036" s="329"/>
    </row>
    <row r="1037" spans="1:25" ht="18">
      <c r="A1037" s="50"/>
      <c r="B1037" s="56"/>
      <c r="C1037" s="56"/>
      <c r="D1037" s="57"/>
      <c r="E1037" s="325" t="b">
        <v>0</v>
      </c>
      <c r="F1037" s="56"/>
      <c r="G1037" s="56"/>
      <c r="Y1037" s="329"/>
    </row>
    <row r="1038" spans="1:25" ht="18">
      <c r="A1038" s="50"/>
      <c r="B1038" s="56"/>
      <c r="C1038" s="56"/>
      <c r="D1038" s="57"/>
      <c r="E1038" s="325" t="b">
        <v>0</v>
      </c>
      <c r="F1038" s="56"/>
      <c r="G1038" s="56"/>
      <c r="Y1038" s="329"/>
    </row>
    <row r="1039" spans="1:25" ht="18">
      <c r="A1039" s="50"/>
      <c r="B1039" s="56"/>
      <c r="C1039" s="56"/>
      <c r="D1039" s="57"/>
      <c r="E1039" s="325" t="b">
        <v>0</v>
      </c>
      <c r="F1039" s="56"/>
      <c r="G1039" s="56"/>
      <c r="Y1039" s="329"/>
    </row>
    <row r="1040" spans="1:25" ht="15.75" customHeight="1">
      <c r="A1040" s="61" t="s">
        <v>319</v>
      </c>
      <c r="B1040" s="53"/>
      <c r="C1040" s="54"/>
      <c r="D1040" s="55"/>
      <c r="E1040" s="54"/>
      <c r="F1040" s="54"/>
      <c r="G1040" s="54"/>
      <c r="Y1040" s="329"/>
    </row>
    <row r="1041" spans="1:25" ht="15.75" customHeight="1">
      <c r="A1041" s="50" t="s">
        <v>320</v>
      </c>
      <c r="B1041" s="60" t="s">
        <v>321</v>
      </c>
      <c r="C1041" s="56"/>
      <c r="D1041" s="57"/>
      <c r="E1041" s="325" t="b">
        <v>0</v>
      </c>
      <c r="F1041" s="56"/>
      <c r="G1041" s="56"/>
      <c r="Y1041" s="329"/>
    </row>
    <row r="1042" spans="1:25" ht="15.75" customHeight="1">
      <c r="A1042" s="50" t="s">
        <v>322</v>
      </c>
      <c r="B1042" s="56" t="s">
        <v>323</v>
      </c>
      <c r="C1042" s="56"/>
      <c r="D1042" s="57"/>
      <c r="E1042" s="325" t="b">
        <v>0</v>
      </c>
      <c r="F1042" s="56"/>
      <c r="G1042" s="56"/>
      <c r="Y1042" s="329"/>
    </row>
    <row r="1043" spans="1:25" ht="15.75" customHeight="1">
      <c r="A1043" s="50"/>
      <c r="B1043" s="56"/>
      <c r="C1043" s="56"/>
      <c r="D1043" s="57"/>
      <c r="E1043" s="325" t="b">
        <v>0</v>
      </c>
      <c r="F1043" s="56"/>
      <c r="G1043" s="56"/>
      <c r="Y1043" s="329"/>
    </row>
    <row r="1044" spans="1:25" ht="15.75" customHeight="1">
      <c r="A1044" s="50"/>
      <c r="B1044" s="56"/>
      <c r="C1044" s="56"/>
      <c r="D1044" s="57"/>
      <c r="E1044" s="325" t="b">
        <v>0</v>
      </c>
      <c r="F1044" s="56"/>
      <c r="G1044" s="56"/>
      <c r="Y1044" s="329"/>
    </row>
    <row r="1045" spans="1:25" ht="15.75" customHeight="1">
      <c r="A1045" s="50"/>
      <c r="B1045" s="56"/>
      <c r="C1045" s="56"/>
      <c r="D1045" s="57"/>
      <c r="E1045" s="325" t="b">
        <v>0</v>
      </c>
      <c r="F1045" s="56"/>
      <c r="G1045" s="56"/>
      <c r="Y1045" s="329"/>
    </row>
    <row r="1046" spans="1:25" ht="15.75" customHeight="1" thickBot="1">
      <c r="A1046" s="50"/>
      <c r="B1046" s="56"/>
      <c r="C1046" s="56"/>
      <c r="D1046" s="57"/>
      <c r="E1046" s="325" t="b">
        <v>0</v>
      </c>
      <c r="F1046" s="56"/>
      <c r="G1046" s="56"/>
      <c r="Y1046" s="330"/>
    </row>
  </sheetData>
  <mergeCells count="2">
    <mergeCell ref="A1:Y1"/>
    <mergeCell ref="AE30:AF30"/>
  </mergeCells>
  <pageMargins left="0.7" right="0.7" top="0.75" bottom="0.75" header="0.3" footer="0.3"/>
  <pageSetup paperSize="8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89EE-488F-9748-8E01-CC6CF1DA4B27}">
  <dimension ref="A1:E36"/>
  <sheetViews>
    <sheetView workbookViewId="0">
      <selection activeCell="A5" sqref="A5:C9"/>
    </sheetView>
  </sheetViews>
  <sheetFormatPr baseColWidth="10" defaultRowHeight="13"/>
  <cols>
    <col min="1" max="1" width="27" customWidth="1"/>
    <col min="2" max="2" width="36.33203125" customWidth="1"/>
    <col min="3" max="3" width="82.33203125" customWidth="1"/>
    <col min="4" max="4" width="16.1640625" customWidth="1"/>
    <col min="5" max="5" width="18" customWidth="1"/>
  </cols>
  <sheetData>
    <row r="1" spans="1:5" ht="18">
      <c r="A1" s="443" t="s">
        <v>555</v>
      </c>
      <c r="B1" s="444"/>
      <c r="C1" s="444"/>
      <c r="D1" s="444"/>
      <c r="E1" s="444"/>
    </row>
    <row r="2" spans="1:5" ht="20">
      <c r="A2" s="440" t="s">
        <v>261</v>
      </c>
      <c r="B2" s="441"/>
      <c r="C2" s="441"/>
      <c r="D2" s="441"/>
      <c r="E2" s="442"/>
    </row>
    <row r="3" spans="1:5" ht="16">
      <c r="A3" s="355" t="s">
        <v>556</v>
      </c>
      <c r="B3" s="356" t="s">
        <v>557</v>
      </c>
      <c r="C3" s="363" t="s">
        <v>558</v>
      </c>
      <c r="D3" s="369" t="s">
        <v>51</v>
      </c>
      <c r="E3" s="370" t="s">
        <v>61</v>
      </c>
    </row>
    <row r="4" spans="1:5" ht="16">
      <c r="A4" s="357">
        <v>150</v>
      </c>
      <c r="B4" s="56"/>
      <c r="C4" s="364" t="s">
        <v>559</v>
      </c>
      <c r="D4" s="367">
        <v>46237</v>
      </c>
      <c r="E4" s="367">
        <v>46246</v>
      </c>
    </row>
    <row r="5" spans="1:5" ht="16">
      <c r="A5" s="357" t="s">
        <v>590</v>
      </c>
      <c r="B5" s="56">
        <v>2</v>
      </c>
      <c r="C5" s="364" t="s">
        <v>579</v>
      </c>
      <c r="D5" s="367">
        <v>46265</v>
      </c>
      <c r="E5" s="367">
        <v>46246</v>
      </c>
    </row>
    <row r="6" spans="1:5" ht="16">
      <c r="A6" s="358" t="s">
        <v>589</v>
      </c>
      <c r="B6" s="56">
        <v>2</v>
      </c>
      <c r="C6" s="364" t="s">
        <v>528</v>
      </c>
      <c r="D6" s="367">
        <v>46237</v>
      </c>
      <c r="E6" s="367">
        <v>46246</v>
      </c>
    </row>
    <row r="7" spans="1:5" ht="16">
      <c r="A7" s="357" t="s">
        <v>588</v>
      </c>
      <c r="B7" s="56">
        <v>1</v>
      </c>
      <c r="C7" s="364" t="s">
        <v>542</v>
      </c>
      <c r="D7" s="368">
        <v>46237</v>
      </c>
      <c r="E7" s="367">
        <v>46246</v>
      </c>
    </row>
    <row r="8" spans="1:5" ht="16">
      <c r="A8" s="359" t="s">
        <v>587</v>
      </c>
      <c r="B8" s="360">
        <v>1</v>
      </c>
      <c r="C8" s="365" t="s">
        <v>575</v>
      </c>
      <c r="D8" s="367">
        <v>46237</v>
      </c>
      <c r="E8" s="367">
        <v>46246</v>
      </c>
    </row>
    <row r="9" spans="1:5" ht="16">
      <c r="A9" s="361" t="s">
        <v>591</v>
      </c>
      <c r="B9" s="362">
        <v>4</v>
      </c>
      <c r="C9" s="366" t="s">
        <v>562</v>
      </c>
      <c r="D9" s="367">
        <v>46237</v>
      </c>
      <c r="E9" s="367">
        <v>46246</v>
      </c>
    </row>
    <row r="11" spans="1:5" ht="20">
      <c r="A11" s="440" t="s">
        <v>563</v>
      </c>
      <c r="B11" s="441"/>
      <c r="C11" s="441"/>
      <c r="D11" s="441"/>
      <c r="E11" s="442"/>
    </row>
    <row r="12" spans="1:5" ht="16">
      <c r="A12" s="355" t="s">
        <v>568</v>
      </c>
      <c r="B12" s="356" t="s">
        <v>569</v>
      </c>
      <c r="C12" s="363" t="s">
        <v>558</v>
      </c>
      <c r="D12" s="369" t="s">
        <v>51</v>
      </c>
      <c r="E12" s="370" t="s">
        <v>61</v>
      </c>
    </row>
    <row r="13" spans="1:5" ht="16">
      <c r="A13" s="358" t="s">
        <v>573</v>
      </c>
      <c r="B13" s="56">
        <v>1</v>
      </c>
      <c r="C13" s="364" t="s">
        <v>559</v>
      </c>
      <c r="D13" s="367">
        <v>46237</v>
      </c>
      <c r="E13" s="367">
        <v>46246</v>
      </c>
    </row>
    <row r="14" spans="1:5" ht="16">
      <c r="A14" s="357" t="s">
        <v>567</v>
      </c>
      <c r="B14" s="56">
        <v>8</v>
      </c>
      <c r="C14" s="364" t="s">
        <v>570</v>
      </c>
      <c r="D14" s="216"/>
      <c r="E14" s="216"/>
    </row>
    <row r="15" spans="1:5" ht="16">
      <c r="A15" s="358" t="s">
        <v>571</v>
      </c>
      <c r="B15" s="56">
        <v>1</v>
      </c>
      <c r="C15" s="364" t="s">
        <v>528</v>
      </c>
      <c r="D15" s="367">
        <v>46236</v>
      </c>
      <c r="E15" s="367">
        <v>46246</v>
      </c>
    </row>
    <row r="16" spans="1:5" ht="16">
      <c r="A16" s="357" t="s">
        <v>572</v>
      </c>
      <c r="B16" s="56">
        <v>2</v>
      </c>
      <c r="C16" s="364" t="s">
        <v>542</v>
      </c>
      <c r="D16" s="368">
        <v>46236</v>
      </c>
      <c r="E16" s="367">
        <v>46246</v>
      </c>
    </row>
    <row r="17" spans="1:5" ht="16">
      <c r="A17" s="359"/>
      <c r="B17" s="360">
        <v>1</v>
      </c>
      <c r="C17" s="365" t="s">
        <v>560</v>
      </c>
      <c r="D17" s="367">
        <v>46237</v>
      </c>
      <c r="E17" s="367">
        <v>46246</v>
      </c>
    </row>
    <row r="18" spans="1:5" ht="16">
      <c r="B18" s="362">
        <v>4</v>
      </c>
      <c r="C18" s="366" t="s">
        <v>562</v>
      </c>
      <c r="D18" s="367">
        <v>46237</v>
      </c>
      <c r="E18" s="367">
        <v>46246</v>
      </c>
    </row>
    <row r="19" spans="1:5" ht="16">
      <c r="A19" s="361"/>
      <c r="B19" s="371">
        <v>50</v>
      </c>
      <c r="C19" s="372" t="s">
        <v>580</v>
      </c>
    </row>
    <row r="20" spans="1:5" ht="20">
      <c r="A20" s="440" t="s">
        <v>266</v>
      </c>
      <c r="B20" s="441"/>
      <c r="C20" s="441"/>
      <c r="D20" s="441"/>
      <c r="E20" s="442"/>
    </row>
    <row r="21" spans="1:5" ht="16">
      <c r="A21" s="355" t="s">
        <v>69</v>
      </c>
      <c r="B21" s="356" t="s">
        <v>557</v>
      </c>
      <c r="C21" s="363" t="s">
        <v>558</v>
      </c>
      <c r="D21" s="369" t="s">
        <v>51</v>
      </c>
      <c r="E21" s="370" t="s">
        <v>61</v>
      </c>
    </row>
    <row r="22" spans="1:5" ht="16">
      <c r="A22" s="357"/>
      <c r="B22" s="56">
        <v>1</v>
      </c>
      <c r="C22" s="364" t="s">
        <v>559</v>
      </c>
      <c r="D22" s="367">
        <v>46237</v>
      </c>
      <c r="E22" s="367">
        <v>46246</v>
      </c>
    </row>
    <row r="23" spans="1:5" ht="16">
      <c r="A23" s="357" t="s">
        <v>565</v>
      </c>
      <c r="B23" s="56">
        <v>20</v>
      </c>
      <c r="C23" s="364" t="s">
        <v>566</v>
      </c>
      <c r="D23" s="216"/>
      <c r="E23" s="216"/>
    </row>
    <row r="24" spans="1:5" ht="16">
      <c r="A24" s="358"/>
      <c r="B24" s="56">
        <v>1</v>
      </c>
      <c r="C24" s="364" t="s">
        <v>528</v>
      </c>
      <c r="D24" s="367">
        <v>46236</v>
      </c>
      <c r="E24" s="367">
        <v>46246</v>
      </c>
    </row>
    <row r="25" spans="1:5" ht="16">
      <c r="A25" s="357"/>
      <c r="B25" s="56">
        <v>2</v>
      </c>
      <c r="C25" s="364" t="s">
        <v>542</v>
      </c>
      <c r="D25" s="368">
        <v>46236</v>
      </c>
      <c r="E25" s="367">
        <v>46246</v>
      </c>
    </row>
    <row r="26" spans="1:5" ht="16">
      <c r="A26" s="359"/>
      <c r="B26" s="360">
        <v>1</v>
      </c>
      <c r="C26" s="365" t="s">
        <v>560</v>
      </c>
      <c r="D26" s="367">
        <v>46237</v>
      </c>
      <c r="E26" s="367">
        <v>46246</v>
      </c>
    </row>
    <row r="27" spans="1:5" ht="16">
      <c r="A27" s="361"/>
      <c r="B27" s="362">
        <v>4</v>
      </c>
      <c r="C27" s="366" t="s">
        <v>562</v>
      </c>
      <c r="D27" s="367">
        <v>46237</v>
      </c>
      <c r="E27" s="367">
        <v>46246</v>
      </c>
    </row>
    <row r="29" spans="1:5" ht="20">
      <c r="A29" s="440" t="s">
        <v>564</v>
      </c>
      <c r="B29" s="441"/>
      <c r="C29" s="441"/>
      <c r="D29" s="441"/>
      <c r="E29" s="442"/>
    </row>
    <row r="30" spans="1:5" ht="16">
      <c r="A30" s="355" t="s">
        <v>69</v>
      </c>
      <c r="B30" s="356" t="s">
        <v>557</v>
      </c>
      <c r="C30" s="363" t="s">
        <v>558</v>
      </c>
      <c r="D30" s="369" t="s">
        <v>51</v>
      </c>
      <c r="E30" s="370" t="s">
        <v>61</v>
      </c>
    </row>
    <row r="31" spans="1:5" ht="16">
      <c r="A31" s="357"/>
      <c r="B31" s="56">
        <v>1</v>
      </c>
      <c r="C31" s="364" t="s">
        <v>559</v>
      </c>
      <c r="D31" s="367">
        <v>46237</v>
      </c>
      <c r="E31" s="367">
        <v>46246</v>
      </c>
    </row>
    <row r="32" spans="1:5" ht="16">
      <c r="A32" s="357">
        <v>100</v>
      </c>
      <c r="B32" s="56">
        <v>0</v>
      </c>
      <c r="C32" s="364" t="s">
        <v>561</v>
      </c>
      <c r="D32" s="216"/>
      <c r="E32" s="216"/>
    </row>
    <row r="33" spans="1:5" ht="16">
      <c r="A33" s="358">
        <v>80</v>
      </c>
      <c r="B33" s="56">
        <v>1</v>
      </c>
      <c r="C33" s="364" t="s">
        <v>528</v>
      </c>
      <c r="D33" s="367">
        <v>46236</v>
      </c>
      <c r="E33" s="367">
        <v>46246</v>
      </c>
    </row>
    <row r="34" spans="1:5" ht="16">
      <c r="A34" s="357">
        <v>60</v>
      </c>
      <c r="B34" s="56">
        <v>2</v>
      </c>
      <c r="C34" s="364" t="s">
        <v>542</v>
      </c>
      <c r="D34" s="368">
        <v>46236</v>
      </c>
      <c r="E34" s="367">
        <v>46246</v>
      </c>
    </row>
    <row r="35" spans="1:5" ht="16">
      <c r="A35" s="359">
        <v>20</v>
      </c>
      <c r="B35" s="360">
        <v>1</v>
      </c>
      <c r="C35" s="365" t="s">
        <v>560</v>
      </c>
      <c r="D35" s="367">
        <v>46237</v>
      </c>
      <c r="E35" s="367">
        <v>46246</v>
      </c>
    </row>
    <row r="36" spans="1:5" ht="16">
      <c r="A36" s="361">
        <v>7</v>
      </c>
      <c r="B36" s="362">
        <v>4</v>
      </c>
      <c r="C36" s="366" t="s">
        <v>562</v>
      </c>
      <c r="D36" s="367">
        <v>46237</v>
      </c>
      <c r="E36" s="367">
        <v>46246</v>
      </c>
    </row>
  </sheetData>
  <mergeCells count="5">
    <mergeCell ref="A11:E11"/>
    <mergeCell ref="A20:E20"/>
    <mergeCell ref="A29:E29"/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2D65-325B-B743-88A9-BC4E70CA066B}">
  <sheetPr>
    <pageSetUpPr fitToPage="1"/>
  </sheetPr>
  <dimension ref="A1:M44"/>
  <sheetViews>
    <sheetView workbookViewId="0">
      <pane xSplit="29900"/>
      <selection activeCell="G14" sqref="G14"/>
      <selection pane="topRight" activeCell="G23" sqref="G23"/>
    </sheetView>
  </sheetViews>
  <sheetFormatPr baseColWidth="10" defaultRowHeight="13"/>
  <cols>
    <col min="1" max="1" width="35.83203125" bestFit="1" customWidth="1"/>
    <col min="3" max="3" width="14" bestFit="1" customWidth="1"/>
    <col min="4" max="4" width="11" hidden="1" customWidth="1"/>
    <col min="5" max="5" width="20.33203125" bestFit="1" customWidth="1"/>
    <col min="6" max="6" width="20.1640625" bestFit="1" customWidth="1"/>
    <col min="7" max="7" width="49.83203125" customWidth="1"/>
    <col min="8" max="8" width="8" bestFit="1" customWidth="1"/>
    <col min="9" max="9" width="4.6640625" customWidth="1"/>
    <col min="10" max="10" width="29.5" bestFit="1" customWidth="1"/>
    <col min="11" max="11" width="27.5" bestFit="1" customWidth="1"/>
    <col min="12" max="12" width="29.5" bestFit="1" customWidth="1"/>
    <col min="13" max="13" width="12.83203125" bestFit="1" customWidth="1"/>
  </cols>
  <sheetData>
    <row r="1" spans="1:13" ht="17" thickBot="1">
      <c r="A1" s="62" t="s">
        <v>157</v>
      </c>
      <c r="B1" s="63"/>
      <c r="C1" s="63" t="s">
        <v>158</v>
      </c>
      <c r="D1" s="63"/>
      <c r="E1" s="373" t="s">
        <v>592</v>
      </c>
      <c r="F1" s="64" t="s">
        <v>33</v>
      </c>
      <c r="G1" s="445" t="s">
        <v>32</v>
      </c>
      <c r="H1" s="446"/>
      <c r="J1" s="273" t="s">
        <v>385</v>
      </c>
      <c r="K1" s="274" t="s">
        <v>386</v>
      </c>
      <c r="L1" s="275" t="s">
        <v>46</v>
      </c>
    </row>
    <row r="2" spans="1:13" ht="16">
      <c r="A2" s="65" t="s">
        <v>520</v>
      </c>
      <c r="B2" s="66"/>
      <c r="C2" s="67">
        <v>35000</v>
      </c>
      <c r="D2" s="68"/>
      <c r="E2" s="389">
        <v>25000</v>
      </c>
      <c r="F2" s="391"/>
      <c r="G2" s="324"/>
      <c r="J2" s="276" t="s">
        <v>382</v>
      </c>
      <c r="K2" s="199" t="s">
        <v>381</v>
      </c>
      <c r="L2" s="277" t="s">
        <v>33</v>
      </c>
    </row>
    <row r="3" spans="1:13" ht="17" thickBot="1">
      <c r="A3" s="65" t="s">
        <v>225</v>
      </c>
      <c r="B3" s="69"/>
      <c r="C3" s="67">
        <v>8000</v>
      </c>
      <c r="D3" s="68"/>
      <c r="E3" s="78">
        <v>10906</v>
      </c>
      <c r="F3" s="392">
        <f>BUDGET!D28</f>
        <v>10906</v>
      </c>
      <c r="G3" s="324"/>
      <c r="I3" s="281">
        <v>1</v>
      </c>
      <c r="J3" s="278">
        <f>SUM(D14:D17)</f>
        <v>51620</v>
      </c>
      <c r="K3" s="279">
        <f>C21+C20+C19+C18</f>
        <v>11112</v>
      </c>
      <c r="L3" s="280">
        <f>SUM(J3+K3)</f>
        <v>62732</v>
      </c>
    </row>
    <row r="4" spans="1:13" ht="17" thickBot="1">
      <c r="A4" s="70" t="s">
        <v>159</v>
      </c>
      <c r="B4" s="69"/>
      <c r="C4" s="67">
        <v>10000</v>
      </c>
      <c r="D4" s="68"/>
      <c r="E4" s="389">
        <v>10000</v>
      </c>
      <c r="F4" s="393"/>
      <c r="G4" s="324"/>
      <c r="I4" s="281"/>
    </row>
    <row r="5" spans="1:13" ht="17" thickBot="1">
      <c r="A5" s="65" t="s">
        <v>518</v>
      </c>
      <c r="B5" s="69"/>
      <c r="C5" s="67">
        <v>5000</v>
      </c>
      <c r="D5" s="68"/>
      <c r="E5" s="389">
        <v>5000</v>
      </c>
      <c r="F5" s="392">
        <v>2000</v>
      </c>
      <c r="G5" s="324"/>
      <c r="I5" s="281">
        <v>2</v>
      </c>
      <c r="J5" s="400">
        <f>SUM(E14:E17)</f>
        <v>40500</v>
      </c>
      <c r="K5" s="401">
        <v>24085</v>
      </c>
      <c r="L5" s="402">
        <f>J5+K5</f>
        <v>64585</v>
      </c>
    </row>
    <row r="6" spans="1:13" ht="16">
      <c r="A6" s="65" t="s">
        <v>515</v>
      </c>
      <c r="B6" s="69"/>
      <c r="C6" s="67">
        <v>12000</v>
      </c>
      <c r="D6" s="68"/>
      <c r="E6" s="78">
        <v>8000</v>
      </c>
      <c r="F6" s="392">
        <f>BUDGET!D50</f>
        <v>7707.5</v>
      </c>
      <c r="G6" s="324"/>
      <c r="L6" s="402">
        <f>L5*0.1</f>
        <v>6458.5</v>
      </c>
      <c r="M6" s="14" t="s">
        <v>384</v>
      </c>
    </row>
    <row r="7" spans="1:13" ht="16">
      <c r="A7" s="65" t="s">
        <v>514</v>
      </c>
      <c r="B7" s="69"/>
      <c r="C7" s="67">
        <v>8000</v>
      </c>
      <c r="D7" s="68"/>
      <c r="E7" s="78">
        <v>3300</v>
      </c>
      <c r="F7" s="392">
        <f>BUDGET!D57</f>
        <v>3000</v>
      </c>
      <c r="G7" s="324"/>
      <c r="L7" s="402">
        <f>L5+L6</f>
        <v>71043.5</v>
      </c>
    </row>
    <row r="8" spans="1:13" ht="16">
      <c r="A8" s="65" t="s">
        <v>160</v>
      </c>
      <c r="B8" s="69"/>
      <c r="C8" s="67">
        <v>35000</v>
      </c>
      <c r="D8" s="68"/>
      <c r="E8" s="78">
        <v>25000</v>
      </c>
      <c r="F8" s="394"/>
      <c r="G8" s="324"/>
    </row>
    <row r="9" spans="1:13" ht="16">
      <c r="A9" s="65" t="s">
        <v>519</v>
      </c>
      <c r="B9" s="69"/>
      <c r="C9" s="67">
        <v>35000</v>
      </c>
      <c r="D9" s="68"/>
      <c r="E9" s="389">
        <v>10000</v>
      </c>
      <c r="F9" s="394"/>
      <c r="G9" s="324"/>
    </row>
    <row r="10" spans="1:13" ht="16">
      <c r="A10" s="71" t="s">
        <v>516</v>
      </c>
      <c r="B10" s="67"/>
      <c r="C10" s="67">
        <v>1000</v>
      </c>
      <c r="D10" s="68"/>
      <c r="E10" s="78">
        <v>4000</v>
      </c>
      <c r="F10" s="394"/>
      <c r="G10" s="324"/>
    </row>
    <row r="11" spans="1:13" ht="16">
      <c r="A11" s="65" t="s">
        <v>517</v>
      </c>
      <c r="B11" s="69"/>
      <c r="C11" s="67">
        <v>2000</v>
      </c>
      <c r="D11" s="72"/>
      <c r="E11" s="78">
        <v>2000</v>
      </c>
      <c r="F11" s="395"/>
      <c r="G11" s="324"/>
    </row>
    <row r="12" spans="1:13" ht="17" thickBot="1">
      <c r="A12" s="68"/>
      <c r="B12" s="68"/>
      <c r="C12" s="73">
        <f>SUM(C2:C11)</f>
        <v>151000</v>
      </c>
      <c r="D12" s="397" t="e">
        <f>#REF!+#REF!</f>
        <v>#REF!</v>
      </c>
      <c r="E12" s="408">
        <f>SUM(E2:E11)</f>
        <v>103206</v>
      </c>
      <c r="F12" s="398">
        <f>C12-E12</f>
        <v>47794</v>
      </c>
    </row>
    <row r="13" spans="1:13" ht="17" thickBot="1">
      <c r="A13" s="74" t="s">
        <v>161</v>
      </c>
      <c r="B13" s="75"/>
      <c r="C13" s="396" t="s">
        <v>162</v>
      </c>
      <c r="D13" s="407"/>
      <c r="E13" s="409" t="s">
        <v>617</v>
      </c>
      <c r="F13" s="196"/>
      <c r="G13" s="324"/>
    </row>
    <row r="14" spans="1:13" ht="16">
      <c r="A14" s="68" t="s">
        <v>163</v>
      </c>
      <c r="B14" s="77"/>
      <c r="C14" s="78">
        <v>32500</v>
      </c>
      <c r="D14" s="78">
        <v>32500</v>
      </c>
      <c r="E14" s="390">
        <v>32500</v>
      </c>
      <c r="F14" s="192" t="s">
        <v>379</v>
      </c>
      <c r="G14" s="324"/>
    </row>
    <row r="15" spans="1:13" ht="16">
      <c r="A15" s="68" t="s">
        <v>165</v>
      </c>
      <c r="B15" s="77"/>
      <c r="C15" s="78">
        <v>8000</v>
      </c>
      <c r="D15" s="78">
        <v>5000</v>
      </c>
      <c r="E15" s="390">
        <v>8000</v>
      </c>
      <c r="F15" s="192" t="s">
        <v>379</v>
      </c>
      <c r="G15" s="324"/>
    </row>
    <row r="16" spans="1:13" ht="16">
      <c r="A16" s="68" t="s">
        <v>166</v>
      </c>
      <c r="B16" s="77"/>
      <c r="C16" s="78"/>
      <c r="D16" s="78">
        <v>6520</v>
      </c>
      <c r="E16" s="390">
        <v>0</v>
      </c>
      <c r="F16" s="192" t="s">
        <v>379</v>
      </c>
      <c r="G16" s="324"/>
    </row>
    <row r="17" spans="1:7" ht="16">
      <c r="A17" s="68" t="s">
        <v>513</v>
      </c>
      <c r="B17" s="77"/>
      <c r="C17" s="78"/>
      <c r="D17" s="78">
        <f>8*950</f>
        <v>7600</v>
      </c>
      <c r="E17" s="390">
        <v>0</v>
      </c>
      <c r="F17" s="192" t="s">
        <v>637</v>
      </c>
      <c r="G17" s="324"/>
    </row>
    <row r="18" spans="1:7" ht="16">
      <c r="A18" s="68" t="s">
        <v>167</v>
      </c>
      <c r="B18" s="77"/>
      <c r="C18" s="78"/>
      <c r="D18" s="78">
        <f>'CREW SCHEDULE'!J10</f>
        <v>11420.5</v>
      </c>
      <c r="E18" s="390">
        <v>0</v>
      </c>
      <c r="F18" s="192" t="s">
        <v>379</v>
      </c>
      <c r="G18" s="324"/>
    </row>
    <row r="19" spans="1:7" ht="16">
      <c r="A19" s="68" t="s">
        <v>168</v>
      </c>
      <c r="B19" s="77"/>
      <c r="C19" s="78">
        <f>'CREW SCHEDULE'!L3</f>
        <v>3249.5</v>
      </c>
      <c r="D19" s="78">
        <f>'CREW SCHEDULE'!M3</f>
        <v>1909.5</v>
      </c>
      <c r="E19" s="78">
        <v>3249</v>
      </c>
      <c r="F19" s="192" t="s">
        <v>380</v>
      </c>
      <c r="G19" s="324"/>
    </row>
    <row r="20" spans="1:7" ht="16">
      <c r="A20" s="68" t="s">
        <v>169</v>
      </c>
      <c r="B20" s="77"/>
      <c r="C20" s="78">
        <f>'CREW SCHEDULE'!M3</f>
        <v>1909.5</v>
      </c>
      <c r="D20" s="78">
        <f>'CREW SCHEDULE'!L3</f>
        <v>3249.5</v>
      </c>
      <c r="E20" s="78">
        <v>1909</v>
      </c>
      <c r="F20" s="192" t="s">
        <v>380</v>
      </c>
      <c r="G20" s="324"/>
    </row>
    <row r="21" spans="1:7" ht="16">
      <c r="A21" s="68" t="s">
        <v>170</v>
      </c>
      <c r="B21" s="77"/>
      <c r="C21" s="79">
        <f>'CREW SCHEDULE'!K3</f>
        <v>5953</v>
      </c>
      <c r="D21" s="79">
        <v>8340</v>
      </c>
      <c r="E21" s="78">
        <v>7000</v>
      </c>
      <c r="F21" s="192" t="s">
        <v>380</v>
      </c>
      <c r="G21" s="324"/>
    </row>
    <row r="22" spans="1:7" ht="17" thickBot="1">
      <c r="A22" s="68"/>
      <c r="B22" s="68"/>
      <c r="C22" s="82">
        <f>SUM(C14:C21)</f>
        <v>51612</v>
      </c>
      <c r="D22" s="410" t="e">
        <f>SUM(#REF!)</f>
        <v>#REF!</v>
      </c>
      <c r="E22" s="82">
        <f>SUM(E14:E21)</f>
        <v>52658</v>
      </c>
      <c r="F22" s="394"/>
      <c r="G22" s="324"/>
    </row>
    <row r="23" spans="1:7" ht="16">
      <c r="A23" s="74" t="s">
        <v>171</v>
      </c>
      <c r="B23" s="75"/>
      <c r="C23" s="75" t="s">
        <v>172</v>
      </c>
      <c r="D23" s="76"/>
      <c r="E23" s="80"/>
      <c r="F23" s="196"/>
      <c r="G23" s="324"/>
    </row>
    <row r="24" spans="1:7" ht="16">
      <c r="A24" s="68" t="s">
        <v>173</v>
      </c>
      <c r="B24" s="68"/>
      <c r="C24" s="81">
        <v>15000</v>
      </c>
      <c r="D24" s="403"/>
      <c r="E24" s="78">
        <v>15000</v>
      </c>
      <c r="F24" s="394"/>
      <c r="G24" s="324"/>
    </row>
    <row r="25" spans="1:7" ht="16">
      <c r="A25" s="68" t="s">
        <v>616</v>
      </c>
      <c r="B25" s="68"/>
      <c r="C25" s="81">
        <v>2500</v>
      </c>
      <c r="D25" s="403"/>
      <c r="E25" s="68">
        <v>2000</v>
      </c>
      <c r="F25" s="394"/>
      <c r="G25" s="324"/>
    </row>
    <row r="26" spans="1:7" ht="16">
      <c r="A26" s="68" t="s">
        <v>174</v>
      </c>
      <c r="B26" s="68"/>
      <c r="C26" s="81">
        <v>25000</v>
      </c>
      <c r="D26" s="403"/>
      <c r="E26" s="78">
        <v>10000</v>
      </c>
      <c r="F26" s="406">
        <v>10000</v>
      </c>
      <c r="G26" s="324"/>
    </row>
    <row r="27" spans="1:7" ht="16">
      <c r="A27" s="68" t="s">
        <v>618</v>
      </c>
      <c r="B27" s="68"/>
      <c r="C27" s="81">
        <v>5000</v>
      </c>
      <c r="D27" s="403"/>
      <c r="E27" s="68">
        <v>5000</v>
      </c>
      <c r="F27" s="394"/>
      <c r="G27" s="324"/>
    </row>
    <row r="28" spans="1:7" ht="16">
      <c r="A28" s="68" t="s">
        <v>176</v>
      </c>
      <c r="B28" s="68"/>
      <c r="C28" s="81">
        <v>5</v>
      </c>
      <c r="D28" s="403"/>
      <c r="E28" s="68">
        <v>0</v>
      </c>
      <c r="F28" s="394"/>
      <c r="G28" s="324"/>
    </row>
    <row r="29" spans="1:7" ht="16">
      <c r="A29" s="68" t="s">
        <v>177</v>
      </c>
      <c r="B29" s="68"/>
      <c r="C29" s="81">
        <v>3000</v>
      </c>
      <c r="D29" s="403"/>
      <c r="E29" s="78">
        <v>2000</v>
      </c>
      <c r="F29" s="394"/>
      <c r="G29" s="324"/>
    </row>
    <row r="30" spans="1:7" ht="16">
      <c r="A30" s="68" t="s">
        <v>178</v>
      </c>
      <c r="B30" s="68"/>
      <c r="C30" s="411">
        <v>5000</v>
      </c>
      <c r="D30" s="404"/>
      <c r="E30" s="78">
        <v>5000</v>
      </c>
      <c r="F30" s="394"/>
      <c r="G30" s="324"/>
    </row>
    <row r="31" spans="1:7" ht="17" thickBot="1">
      <c r="A31" s="68"/>
      <c r="B31" s="68"/>
      <c r="C31" s="82">
        <f>SUM(C24:C30)</f>
        <v>55505</v>
      </c>
      <c r="D31" s="405" t="e">
        <f>#REF!+#REF!</f>
        <v>#REF!</v>
      </c>
      <c r="E31" s="82">
        <f>SUM(E24:E30)</f>
        <v>39000</v>
      </c>
      <c r="F31" s="394"/>
      <c r="G31" s="324"/>
    </row>
    <row r="32" spans="1:7" ht="16">
      <c r="A32" s="74" t="s">
        <v>179</v>
      </c>
      <c r="B32" s="75"/>
      <c r="C32" s="75" t="s">
        <v>180</v>
      </c>
      <c r="D32" s="76"/>
      <c r="E32" s="80"/>
      <c r="F32" s="196"/>
      <c r="G32" s="324"/>
    </row>
    <row r="33" spans="1:7" ht="16">
      <c r="A33" s="68" t="s">
        <v>181</v>
      </c>
      <c r="B33" s="68"/>
      <c r="C33" s="78">
        <v>15000</v>
      </c>
      <c r="D33" s="68"/>
      <c r="E33" s="78">
        <v>7500</v>
      </c>
      <c r="F33" s="394"/>
      <c r="G33" s="324"/>
    </row>
    <row r="34" spans="1:7" ht="16">
      <c r="A34" s="68" t="s">
        <v>182</v>
      </c>
      <c r="B34" s="68"/>
      <c r="C34" s="78">
        <v>40000</v>
      </c>
      <c r="D34" s="68"/>
      <c r="E34" s="78">
        <v>20000</v>
      </c>
      <c r="F34" s="394"/>
      <c r="G34" s="324"/>
    </row>
    <row r="35" spans="1:7" ht="16">
      <c r="A35" s="68" t="s">
        <v>183</v>
      </c>
      <c r="B35" s="68"/>
      <c r="C35" s="78">
        <v>3500</v>
      </c>
      <c r="D35" s="68"/>
      <c r="E35" s="68"/>
      <c r="F35" s="394"/>
      <c r="G35" s="324"/>
    </row>
    <row r="36" spans="1:7" ht="16">
      <c r="A36" s="68" t="s">
        <v>184</v>
      </c>
      <c r="B36" s="68"/>
      <c r="C36" s="78">
        <v>30000</v>
      </c>
      <c r="D36" s="82"/>
      <c r="E36" s="78">
        <v>10000</v>
      </c>
      <c r="F36" s="394"/>
      <c r="G36" s="324"/>
    </row>
    <row r="37" spans="1:7" ht="16">
      <c r="A37" s="68" t="s">
        <v>383</v>
      </c>
      <c r="B37" s="68"/>
      <c r="C37" s="78">
        <v>10000</v>
      </c>
      <c r="D37" s="82">
        <f>SUM(C33:C36)</f>
        <v>88500</v>
      </c>
      <c r="E37" s="68">
        <v>0</v>
      </c>
      <c r="F37" s="395"/>
      <c r="G37" s="324"/>
    </row>
    <row r="38" spans="1:7" ht="17" thickBot="1">
      <c r="A38" s="72" t="s">
        <v>521</v>
      </c>
      <c r="B38" s="72"/>
      <c r="C38" s="310">
        <f>SUM(C33:C37)</f>
        <v>98500</v>
      </c>
      <c r="D38" s="83">
        <f>D36+D37</f>
        <v>88500</v>
      </c>
      <c r="E38" s="68">
        <f>SUM(E33:E37)</f>
        <v>37500</v>
      </c>
      <c r="F38" s="395"/>
      <c r="G38" s="324"/>
    </row>
    <row r="39" spans="1:7" ht="16">
      <c r="A39" s="311" t="s">
        <v>33</v>
      </c>
      <c r="B39" s="312"/>
      <c r="C39" s="313">
        <f>C38+C31+C22+C12</f>
        <v>356617</v>
      </c>
      <c r="D39" s="51"/>
      <c r="E39" s="82">
        <f>E38+E31+E22+E12</f>
        <v>232364</v>
      </c>
      <c r="F39" s="51"/>
      <c r="G39" s="51"/>
    </row>
    <row r="40" spans="1:7" ht="16">
      <c r="A40" s="314"/>
      <c r="B40" s="309" t="s">
        <v>384</v>
      </c>
      <c r="C40" s="315">
        <f>C39*0.1</f>
        <v>35661.700000000004</v>
      </c>
      <c r="D40" s="51"/>
      <c r="E40" s="51"/>
      <c r="F40" s="51"/>
      <c r="G40" s="51"/>
    </row>
    <row r="41" spans="1:7" ht="17" thickBot="1">
      <c r="A41" s="316"/>
      <c r="B41" s="317" t="s">
        <v>33</v>
      </c>
      <c r="C41" s="318">
        <f>C39+C40</f>
        <v>392278.7</v>
      </c>
      <c r="D41" s="51"/>
      <c r="E41" s="309">
        <f>E39*1.1</f>
        <v>255600.40000000002</v>
      </c>
      <c r="F41" s="51"/>
      <c r="G41" s="51"/>
    </row>
    <row r="42" spans="1:7" ht="16">
      <c r="A42" s="51"/>
      <c r="B42" s="51"/>
      <c r="C42" s="51"/>
      <c r="D42" s="51"/>
      <c r="E42" s="308"/>
      <c r="F42" s="309"/>
      <c r="G42" s="51"/>
    </row>
    <row r="43" spans="1:7" ht="16">
      <c r="A43" s="51"/>
      <c r="B43" s="51"/>
      <c r="C43" s="51"/>
      <c r="D43" s="51"/>
      <c r="E43" s="51"/>
      <c r="F43" s="309"/>
      <c r="G43" s="51"/>
    </row>
    <row r="44" spans="1:7" ht="16">
      <c r="A44" s="51"/>
      <c r="B44" s="51"/>
      <c r="C44" s="51"/>
      <c r="D44" s="51"/>
      <c r="E44" s="51"/>
      <c r="F44" s="309"/>
      <c r="G44" s="51"/>
    </row>
  </sheetData>
  <mergeCells count="1">
    <mergeCell ref="G1:H1"/>
  </mergeCells>
  <pageMargins left="0.7" right="0.7" top="0.75" bottom="0.75" header="0.3" footer="0.3"/>
  <pageSetup paperSize="8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0B1A-035B-6249-A19B-66F968A88BE5}">
  <dimension ref="A1:P89"/>
  <sheetViews>
    <sheetView zoomScale="68" zoomScaleNormal="68" workbookViewId="0">
      <pane xSplit="6" ySplit="2" topLeftCell="G12" activePane="bottomRight" state="frozen"/>
      <selection pane="topRight" activeCell="F1" sqref="F1"/>
      <selection pane="bottomLeft" activeCell="A3" sqref="A3"/>
      <selection pane="bottomRight" activeCell="K25" sqref="K25"/>
    </sheetView>
  </sheetViews>
  <sheetFormatPr baseColWidth="10" defaultRowHeight="13"/>
  <cols>
    <col min="1" max="1" width="21.1640625" bestFit="1" customWidth="1"/>
    <col min="2" max="2" width="22.33203125" customWidth="1"/>
    <col min="3" max="3" width="27.5" bestFit="1" customWidth="1"/>
    <col min="4" max="4" width="27.5" hidden="1" customWidth="1"/>
    <col min="5" max="5" width="29.1640625" customWidth="1"/>
    <col min="6" max="6" width="28" customWidth="1"/>
    <col min="7" max="7" width="14.83203125" bestFit="1" customWidth="1"/>
    <col min="10" max="10" width="21.33203125" customWidth="1"/>
    <col min="11" max="11" width="17.83203125" customWidth="1"/>
    <col min="12" max="12" width="15.83203125" customWidth="1"/>
    <col min="13" max="13" width="13.6640625" customWidth="1"/>
  </cols>
  <sheetData>
    <row r="1" spans="1:16" ht="23">
      <c r="A1" s="453" t="s">
        <v>387</v>
      </c>
      <c r="B1" s="454"/>
      <c r="C1" s="454"/>
      <c r="D1" s="454"/>
      <c r="E1" s="454"/>
      <c r="F1" s="455"/>
      <c r="G1" s="212"/>
      <c r="J1" s="452" t="s">
        <v>438</v>
      </c>
      <c r="K1" s="452"/>
      <c r="L1" s="452"/>
      <c r="M1" s="452"/>
      <c r="N1" s="452"/>
      <c r="O1" s="452"/>
      <c r="P1" s="452"/>
    </row>
    <row r="2" spans="1:16" ht="30" customHeight="1">
      <c r="A2" s="448" t="s">
        <v>392</v>
      </c>
      <c r="B2" s="449"/>
      <c r="C2" s="258"/>
      <c r="D2" s="206"/>
      <c r="E2" s="456" t="s">
        <v>388</v>
      </c>
      <c r="F2" s="456" t="s">
        <v>422</v>
      </c>
      <c r="G2" s="194" t="s">
        <v>398</v>
      </c>
      <c r="I2" s="14"/>
      <c r="J2" s="217" t="s">
        <v>409</v>
      </c>
      <c r="K2" s="217" t="s">
        <v>410</v>
      </c>
      <c r="L2" s="306" t="s">
        <v>411</v>
      </c>
      <c r="M2" s="217" t="s">
        <v>412</v>
      </c>
      <c r="N2" s="216"/>
      <c r="O2" s="216"/>
      <c r="P2" s="216"/>
    </row>
    <row r="3" spans="1:16" ht="14" thickBot="1">
      <c r="A3" s="208" t="s">
        <v>38</v>
      </c>
      <c r="B3" s="209" t="s">
        <v>64</v>
      </c>
      <c r="C3" s="209" t="s">
        <v>407</v>
      </c>
      <c r="D3" s="209" t="s">
        <v>439</v>
      </c>
      <c r="E3" s="457"/>
      <c r="F3" s="458"/>
      <c r="G3" s="215"/>
      <c r="I3" s="14" t="s">
        <v>511</v>
      </c>
      <c r="J3" s="304">
        <f>G4+G12+G28+G36+G46+G59+G51+G68+G73+G81</f>
        <v>10180.5</v>
      </c>
      <c r="K3" s="307" cm="1">
        <f t="array" ref="K3:K5">G5:G6+G13+G21:G22+G29:G30+G37:G39+G52:G53+G54:G55+G61:G62+G69+G74:G75+G82:G83</f>
        <v>5953</v>
      </c>
      <c r="L3" s="305">
        <f>G24+G39+G53+G77+G84</f>
        <v>3249.5</v>
      </c>
      <c r="M3" s="221">
        <f>G31+G76+G23</f>
        <v>1909.5</v>
      </c>
      <c r="P3" s="222"/>
    </row>
    <row r="4" spans="1:16">
      <c r="A4" s="204" t="s">
        <v>393</v>
      </c>
      <c r="B4" s="205" t="s">
        <v>394</v>
      </c>
      <c r="C4" s="205">
        <v>5</v>
      </c>
      <c r="D4" s="205">
        <v>7.5</v>
      </c>
      <c r="E4" s="213" t="s">
        <v>389</v>
      </c>
      <c r="F4" s="242">
        <v>125</v>
      </c>
      <c r="G4" s="195">
        <f>D4*F4</f>
        <v>937.5</v>
      </c>
      <c r="I4" s="14" t="s">
        <v>512</v>
      </c>
      <c r="J4" s="220">
        <v>1240</v>
      </c>
      <c r="K4">
        <v>5652.5</v>
      </c>
      <c r="P4" s="222"/>
    </row>
    <row r="5" spans="1:16">
      <c r="A5" s="204" t="s">
        <v>393</v>
      </c>
      <c r="B5" s="205" t="s">
        <v>394</v>
      </c>
      <c r="C5" s="205">
        <v>5</v>
      </c>
      <c r="D5" s="205">
        <v>7.5</v>
      </c>
      <c r="E5" s="213" t="s">
        <v>390</v>
      </c>
      <c r="F5" s="243">
        <v>69</v>
      </c>
      <c r="G5" s="195">
        <f>D5*F5</f>
        <v>517.5</v>
      </c>
      <c r="J5" s="223"/>
      <c r="K5" t="e">
        <v>#N/A</v>
      </c>
      <c r="P5" s="222"/>
    </row>
    <row r="6" spans="1:16">
      <c r="A6" s="204" t="s">
        <v>393</v>
      </c>
      <c r="B6" s="205" t="s">
        <v>635</v>
      </c>
      <c r="C6" s="205">
        <v>5</v>
      </c>
      <c r="D6" s="205">
        <v>7.5</v>
      </c>
      <c r="E6" s="213" t="s">
        <v>391</v>
      </c>
      <c r="F6" s="243">
        <v>69</v>
      </c>
      <c r="G6" s="195">
        <f>D6*F6</f>
        <v>517.5</v>
      </c>
      <c r="J6" s="223"/>
      <c r="P6" s="222"/>
    </row>
    <row r="7" spans="1:16">
      <c r="A7" s="204"/>
      <c r="B7" s="205"/>
      <c r="C7" s="205"/>
      <c r="D7" s="205">
        <v>7.5</v>
      </c>
      <c r="E7" s="213"/>
      <c r="F7" s="243"/>
      <c r="G7" s="195"/>
      <c r="J7" s="223"/>
      <c r="P7" s="222"/>
    </row>
    <row r="8" spans="1:16">
      <c r="A8" s="200"/>
      <c r="B8" s="201"/>
      <c r="C8" s="201"/>
      <c r="D8" s="201"/>
      <c r="E8" s="213"/>
      <c r="F8" s="253"/>
      <c r="G8" s="219"/>
      <c r="J8" s="223"/>
      <c r="P8" s="222"/>
    </row>
    <row r="9" spans="1:16" ht="14" thickBot="1">
      <c r="A9" s="200"/>
      <c r="B9" s="201"/>
      <c r="C9" s="201"/>
      <c r="D9" s="201"/>
      <c r="E9" s="213"/>
      <c r="F9" s="246" t="s">
        <v>408</v>
      </c>
      <c r="G9" s="195">
        <f>SUM(G4:G7)</f>
        <v>1972.5</v>
      </c>
      <c r="J9" s="223"/>
      <c r="P9" s="222"/>
    </row>
    <row r="10" spans="1:16" ht="16">
      <c r="A10" s="448" t="s">
        <v>397</v>
      </c>
      <c r="B10" s="449"/>
      <c r="C10" s="207" t="s">
        <v>429</v>
      </c>
      <c r="D10" s="207" t="s">
        <v>429</v>
      </c>
      <c r="E10" s="450"/>
      <c r="F10" s="447"/>
      <c r="G10" s="214"/>
      <c r="J10" s="304">
        <f>J3+J4</f>
        <v>11420.5</v>
      </c>
      <c r="K10" s="198"/>
      <c r="L10" s="198"/>
      <c r="M10" s="198"/>
      <c r="N10" s="198"/>
      <c r="O10" s="198"/>
      <c r="P10" s="219"/>
    </row>
    <row r="11" spans="1:16" ht="14" thickBot="1">
      <c r="A11" s="208" t="s">
        <v>38</v>
      </c>
      <c r="B11" s="209" t="s">
        <v>64</v>
      </c>
      <c r="C11" s="209" t="s">
        <v>395</v>
      </c>
      <c r="D11" s="209" t="s">
        <v>395</v>
      </c>
      <c r="E11" s="451"/>
      <c r="F11" s="447"/>
      <c r="G11" s="214"/>
    </row>
    <row r="12" spans="1:16">
      <c r="A12" s="204"/>
      <c r="B12" s="205"/>
      <c r="C12" s="205"/>
      <c r="D12" s="205"/>
      <c r="E12" s="213"/>
      <c r="F12" s="242">
        <v>125</v>
      </c>
      <c r="G12" s="238">
        <f>D12*F12</f>
        <v>0</v>
      </c>
    </row>
    <row r="13" spans="1:16">
      <c r="A13" s="204"/>
      <c r="B13" s="205"/>
      <c r="C13" s="205"/>
      <c r="D13" s="205"/>
      <c r="E13" s="213"/>
      <c r="F13" s="243">
        <v>82</v>
      </c>
      <c r="G13" s="238">
        <f>D13*F13</f>
        <v>0</v>
      </c>
    </row>
    <row r="14" spans="1:16">
      <c r="A14" s="200"/>
      <c r="B14" s="201"/>
      <c r="C14" s="201"/>
      <c r="D14" s="201"/>
      <c r="E14" s="213"/>
      <c r="F14" s="253"/>
      <c r="G14" s="222"/>
    </row>
    <row r="15" spans="1:16">
      <c r="A15" s="200"/>
      <c r="B15" s="201"/>
      <c r="C15" s="201"/>
      <c r="D15" s="201"/>
      <c r="E15" s="213"/>
      <c r="F15" s="253"/>
      <c r="G15" s="222"/>
    </row>
    <row r="16" spans="1:16">
      <c r="A16" s="200"/>
      <c r="B16" s="201"/>
      <c r="C16" s="201"/>
      <c r="D16" s="201"/>
      <c r="E16" s="213"/>
      <c r="F16" s="253"/>
      <c r="G16" s="222"/>
    </row>
    <row r="17" spans="1:12" ht="14" thickBot="1">
      <c r="A17" s="200"/>
      <c r="B17" s="201"/>
      <c r="C17" s="201"/>
      <c r="D17" s="201"/>
      <c r="E17" s="213"/>
      <c r="F17" s="246" t="s">
        <v>408</v>
      </c>
      <c r="G17" s="195">
        <f>SUM(G12:G16)</f>
        <v>0</v>
      </c>
    </row>
    <row r="18" spans="1:12" ht="16">
      <c r="A18" s="448" t="s">
        <v>399</v>
      </c>
      <c r="B18" s="449"/>
      <c r="C18" s="207" t="s">
        <v>429</v>
      </c>
      <c r="D18" s="207" t="s">
        <v>429</v>
      </c>
      <c r="E18" s="450"/>
      <c r="F18" s="447"/>
      <c r="G18" s="214"/>
    </row>
    <row r="19" spans="1:12" ht="14" thickBot="1">
      <c r="A19" s="208" t="s">
        <v>38</v>
      </c>
      <c r="B19" s="209" t="s">
        <v>64</v>
      </c>
      <c r="C19" s="209" t="s">
        <v>395</v>
      </c>
      <c r="D19" s="209" t="s">
        <v>395</v>
      </c>
      <c r="E19" s="451"/>
      <c r="F19" s="447"/>
      <c r="G19" s="214"/>
    </row>
    <row r="20" spans="1:12">
      <c r="A20" s="204" t="s">
        <v>403</v>
      </c>
      <c r="B20" s="205" t="s">
        <v>418</v>
      </c>
      <c r="C20" s="205">
        <v>11.5</v>
      </c>
      <c r="D20" s="205">
        <v>11.5</v>
      </c>
      <c r="E20" s="213" t="s">
        <v>389</v>
      </c>
      <c r="F20" s="242">
        <v>100</v>
      </c>
      <c r="G20" s="238">
        <f>D20*F20</f>
        <v>1150</v>
      </c>
    </row>
    <row r="21" spans="1:12">
      <c r="A21" s="204" t="s">
        <v>403</v>
      </c>
      <c r="B21" s="205" t="s">
        <v>404</v>
      </c>
      <c r="C21" s="205">
        <v>10.5</v>
      </c>
      <c r="D21" s="205">
        <v>10.5</v>
      </c>
      <c r="E21" s="213" t="s">
        <v>390</v>
      </c>
      <c r="F21" s="243">
        <v>56</v>
      </c>
      <c r="G21" s="238">
        <f>D21*F21</f>
        <v>588</v>
      </c>
    </row>
    <row r="22" spans="1:12">
      <c r="A22" s="204" t="s">
        <v>403</v>
      </c>
      <c r="B22" s="205" t="s">
        <v>405</v>
      </c>
      <c r="C22" s="205">
        <v>9.5</v>
      </c>
      <c r="D22" s="205">
        <v>9.5</v>
      </c>
      <c r="E22" s="213" t="s">
        <v>391</v>
      </c>
      <c r="F22" s="243">
        <v>56</v>
      </c>
      <c r="G22" s="238">
        <f>D22*F22</f>
        <v>532</v>
      </c>
    </row>
    <row r="23" spans="1:12">
      <c r="A23" s="204" t="s">
        <v>403</v>
      </c>
      <c r="B23" s="205" t="s">
        <v>405</v>
      </c>
      <c r="C23" s="205">
        <v>9.5</v>
      </c>
      <c r="D23" s="205">
        <v>9.5</v>
      </c>
      <c r="E23" s="213" t="s">
        <v>406</v>
      </c>
      <c r="F23" s="243">
        <v>67</v>
      </c>
      <c r="G23" s="238">
        <f>D23*F23</f>
        <v>636.5</v>
      </c>
      <c r="L23" s="221">
        <f>G24+G32+G37+G52+G77+G84</f>
        <v>3778</v>
      </c>
    </row>
    <row r="24" spans="1:12">
      <c r="A24" s="204" t="s">
        <v>403</v>
      </c>
      <c r="B24" s="205" t="s">
        <v>405</v>
      </c>
      <c r="C24" s="205">
        <v>9.5</v>
      </c>
      <c r="D24" s="205">
        <v>9.5</v>
      </c>
      <c r="E24" s="213" t="s">
        <v>396</v>
      </c>
      <c r="F24" s="243">
        <v>67</v>
      </c>
      <c r="G24" s="238">
        <f>D24*F24</f>
        <v>636.5</v>
      </c>
    </row>
    <row r="25" spans="1:12" ht="14" thickBot="1">
      <c r="A25" s="200"/>
      <c r="B25" s="201"/>
      <c r="C25" s="201"/>
      <c r="D25" s="201"/>
      <c r="E25" s="213"/>
      <c r="F25" s="246" t="s">
        <v>408</v>
      </c>
      <c r="G25" s="195">
        <f>SUM(G20:G24)</f>
        <v>3543</v>
      </c>
    </row>
    <row r="26" spans="1:12" ht="16">
      <c r="A26" s="448" t="s">
        <v>400</v>
      </c>
      <c r="B26" s="449"/>
      <c r="C26" s="207" t="s">
        <v>429</v>
      </c>
      <c r="D26" s="207" t="s">
        <v>429</v>
      </c>
      <c r="E26" s="450"/>
      <c r="F26" s="447"/>
      <c r="G26" s="214"/>
    </row>
    <row r="27" spans="1:12" ht="14" thickBot="1">
      <c r="A27" s="208" t="s">
        <v>38</v>
      </c>
      <c r="B27" s="209" t="s">
        <v>64</v>
      </c>
      <c r="C27" s="209" t="s">
        <v>395</v>
      </c>
      <c r="D27" s="209" t="s">
        <v>395</v>
      </c>
      <c r="E27" s="451"/>
      <c r="F27" s="447"/>
      <c r="G27" s="214"/>
    </row>
    <row r="28" spans="1:12">
      <c r="A28" s="204" t="s">
        <v>403</v>
      </c>
      <c r="B28" s="205" t="s">
        <v>418</v>
      </c>
      <c r="C28" s="205">
        <v>11.5</v>
      </c>
      <c r="D28" s="205">
        <v>11.5</v>
      </c>
      <c r="E28" s="213" t="s">
        <v>389</v>
      </c>
      <c r="F28" s="242">
        <v>100</v>
      </c>
      <c r="G28" s="238">
        <f>D28*F28</f>
        <v>1150</v>
      </c>
    </row>
    <row r="29" spans="1:12">
      <c r="A29" s="204" t="s">
        <v>403</v>
      </c>
      <c r="B29" s="205" t="s">
        <v>404</v>
      </c>
      <c r="C29" s="205">
        <v>10.5</v>
      </c>
      <c r="D29" s="205">
        <v>10.5</v>
      </c>
      <c r="E29" s="213" t="s">
        <v>390</v>
      </c>
      <c r="F29" s="243">
        <v>56</v>
      </c>
      <c r="G29" s="238">
        <f>D29*F29</f>
        <v>588</v>
      </c>
    </row>
    <row r="30" spans="1:12">
      <c r="A30" s="204" t="s">
        <v>403</v>
      </c>
      <c r="B30" s="205" t="s">
        <v>405</v>
      </c>
      <c r="C30" s="205">
        <v>9.5</v>
      </c>
      <c r="D30" s="205">
        <v>9.5</v>
      </c>
      <c r="E30" s="213" t="s">
        <v>391</v>
      </c>
      <c r="F30" s="243">
        <v>56</v>
      </c>
      <c r="G30" s="238">
        <f>D30*F30</f>
        <v>532</v>
      </c>
    </row>
    <row r="31" spans="1:12">
      <c r="A31" s="204" t="s">
        <v>403</v>
      </c>
      <c r="B31" s="205" t="s">
        <v>405</v>
      </c>
      <c r="C31" s="205">
        <v>9.5</v>
      </c>
      <c r="D31" s="205">
        <v>9.5</v>
      </c>
      <c r="E31" s="213" t="s">
        <v>406</v>
      </c>
      <c r="F31" s="243">
        <v>67</v>
      </c>
      <c r="G31" s="238">
        <f>D31*F31</f>
        <v>636.5</v>
      </c>
    </row>
    <row r="32" spans="1:12">
      <c r="A32" s="204" t="s">
        <v>403</v>
      </c>
      <c r="B32" s="205" t="s">
        <v>405</v>
      </c>
      <c r="C32" s="205">
        <v>9.5</v>
      </c>
      <c r="D32" s="205">
        <v>9.5</v>
      </c>
      <c r="E32" s="213" t="s">
        <v>396</v>
      </c>
      <c r="F32" s="243">
        <v>67</v>
      </c>
      <c r="G32" s="238">
        <f>D32*F32</f>
        <v>636.5</v>
      </c>
    </row>
    <row r="33" spans="1:7" ht="14" thickBot="1">
      <c r="A33" s="200"/>
      <c r="B33" s="201"/>
      <c r="C33" s="201"/>
      <c r="D33" s="201"/>
      <c r="E33" s="213"/>
      <c r="F33" s="246" t="s">
        <v>408</v>
      </c>
      <c r="G33" s="195">
        <f>SUM(G28:G32)</f>
        <v>3543</v>
      </c>
    </row>
    <row r="34" spans="1:7" ht="16">
      <c r="A34" s="448" t="s">
        <v>401</v>
      </c>
      <c r="B34" s="449"/>
      <c r="C34" s="207" t="s">
        <v>427</v>
      </c>
      <c r="D34" s="207" t="s">
        <v>427</v>
      </c>
      <c r="E34" s="450"/>
      <c r="F34" s="447"/>
      <c r="G34" s="214"/>
    </row>
    <row r="35" spans="1:7" ht="14" thickBot="1">
      <c r="A35" s="208" t="s">
        <v>38</v>
      </c>
      <c r="B35" s="209" t="s">
        <v>64</v>
      </c>
      <c r="C35" s="209" t="s">
        <v>395</v>
      </c>
      <c r="D35" s="209" t="s">
        <v>395</v>
      </c>
      <c r="E35" s="451"/>
      <c r="F35" s="447"/>
      <c r="G35" s="214"/>
    </row>
    <row r="36" spans="1:7">
      <c r="A36" s="204" t="s">
        <v>403</v>
      </c>
      <c r="B36" s="205" t="s">
        <v>420</v>
      </c>
      <c r="C36" s="205">
        <v>13.5</v>
      </c>
      <c r="D36" s="205">
        <v>13.5</v>
      </c>
      <c r="E36" s="213" t="s">
        <v>389</v>
      </c>
      <c r="F36" s="242">
        <v>100</v>
      </c>
      <c r="G36" s="240">
        <f t="shared" ref="G36:G42" si="0">D36*F36</f>
        <v>1350</v>
      </c>
    </row>
    <row r="37" spans="1:7">
      <c r="A37" s="204" t="s">
        <v>403</v>
      </c>
      <c r="B37" s="205" t="s">
        <v>418</v>
      </c>
      <c r="C37" s="205">
        <v>11.5</v>
      </c>
      <c r="D37" s="205">
        <v>11.5</v>
      </c>
      <c r="E37" s="213" t="s">
        <v>390</v>
      </c>
      <c r="F37" s="243">
        <v>56</v>
      </c>
      <c r="G37" s="241">
        <f t="shared" si="0"/>
        <v>644</v>
      </c>
    </row>
    <row r="38" spans="1:7">
      <c r="A38" s="204" t="s">
        <v>403</v>
      </c>
      <c r="B38" s="205" t="s">
        <v>404</v>
      </c>
      <c r="C38" s="205">
        <v>10.5</v>
      </c>
      <c r="D38" s="205">
        <v>10.5</v>
      </c>
      <c r="E38" s="213" t="s">
        <v>391</v>
      </c>
      <c r="F38" s="243">
        <v>56</v>
      </c>
      <c r="G38" s="241">
        <f t="shared" si="0"/>
        <v>588</v>
      </c>
    </row>
    <row r="39" spans="1:7">
      <c r="A39" s="204" t="s">
        <v>403</v>
      </c>
      <c r="B39" s="205" t="s">
        <v>404</v>
      </c>
      <c r="C39" s="205">
        <v>10.5</v>
      </c>
      <c r="D39" s="205">
        <v>10.5</v>
      </c>
      <c r="E39" s="213" t="s">
        <v>611</v>
      </c>
      <c r="F39" s="399">
        <v>67</v>
      </c>
      <c r="G39" s="241">
        <f t="shared" si="0"/>
        <v>703.5</v>
      </c>
    </row>
    <row r="40" spans="1:7">
      <c r="A40" s="234"/>
      <c r="B40" s="233"/>
      <c r="C40" s="233"/>
      <c r="D40" s="233">
        <v>10.5</v>
      </c>
      <c r="E40" s="14"/>
      <c r="F40" s="244"/>
      <c r="G40" s="241"/>
    </row>
    <row r="41" spans="1:7">
      <c r="A41" s="235" t="s">
        <v>419</v>
      </c>
      <c r="B41" s="235" t="s">
        <v>420</v>
      </c>
      <c r="C41" s="235">
        <v>4</v>
      </c>
      <c r="D41" s="235">
        <v>4</v>
      </c>
      <c r="E41" s="197" t="s">
        <v>432</v>
      </c>
      <c r="F41" s="245">
        <v>69</v>
      </c>
      <c r="G41" s="241">
        <f t="shared" si="0"/>
        <v>276</v>
      </c>
    </row>
    <row r="42" spans="1:7">
      <c r="A42" s="235" t="s">
        <v>419</v>
      </c>
      <c r="B42" s="235" t="s">
        <v>420</v>
      </c>
      <c r="C42" s="235">
        <v>4</v>
      </c>
      <c r="D42" s="235">
        <v>4</v>
      </c>
      <c r="E42" s="197" t="s">
        <v>432</v>
      </c>
      <c r="F42" s="245">
        <v>69</v>
      </c>
      <c r="G42" s="241">
        <f t="shared" si="0"/>
        <v>276</v>
      </c>
    </row>
    <row r="43" spans="1:7" ht="14" thickBot="1">
      <c r="A43" s="200"/>
      <c r="B43" s="201"/>
      <c r="C43" s="201"/>
      <c r="D43" s="201"/>
      <c r="E43" s="213"/>
      <c r="F43" s="246" t="s">
        <v>408</v>
      </c>
      <c r="G43" s="195">
        <f>SUM(G36:G42)</f>
        <v>3837.5</v>
      </c>
    </row>
    <row r="44" spans="1:7" ht="16">
      <c r="A44" s="210" t="s">
        <v>402</v>
      </c>
      <c r="B44" s="211"/>
      <c r="C44" s="207" t="s">
        <v>415</v>
      </c>
      <c r="D44" s="207" t="s">
        <v>415</v>
      </c>
      <c r="E44" s="202"/>
      <c r="F44" s="227"/>
      <c r="G44" s="214"/>
    </row>
    <row r="45" spans="1:7" ht="14" thickBot="1">
      <c r="A45" s="208" t="s">
        <v>38</v>
      </c>
      <c r="B45" s="209" t="s">
        <v>64</v>
      </c>
      <c r="C45" s="209" t="s">
        <v>395</v>
      </c>
      <c r="D45" s="209" t="s">
        <v>395</v>
      </c>
      <c r="E45" s="203"/>
      <c r="F45" s="227"/>
      <c r="G45" s="214"/>
    </row>
    <row r="46" spans="1:7">
      <c r="A46" s="204" t="s">
        <v>413</v>
      </c>
      <c r="B46" s="205" t="s">
        <v>414</v>
      </c>
      <c r="C46" s="205">
        <v>5.5</v>
      </c>
      <c r="D46" s="205">
        <v>5.5</v>
      </c>
      <c r="E46" s="213" t="s">
        <v>389</v>
      </c>
      <c r="F46" s="242">
        <v>101</v>
      </c>
      <c r="G46" s="240">
        <f>D46*F46</f>
        <v>555.5</v>
      </c>
    </row>
    <row r="47" spans="1:7">
      <c r="A47" s="200"/>
      <c r="B47" s="201"/>
      <c r="C47" s="201"/>
      <c r="D47" s="201"/>
      <c r="E47" s="213"/>
      <c r="F47" s="253"/>
      <c r="G47" s="222"/>
    </row>
    <row r="48" spans="1:7" ht="14" thickBot="1">
      <c r="A48" s="200"/>
      <c r="B48" s="201"/>
      <c r="C48" s="201"/>
      <c r="D48" s="201"/>
      <c r="E48" s="213"/>
      <c r="F48" s="246" t="s">
        <v>408</v>
      </c>
      <c r="G48" s="195">
        <f>SUM(G46)</f>
        <v>555.5</v>
      </c>
    </row>
    <row r="49" spans="1:7" ht="28">
      <c r="A49" s="210" t="s">
        <v>416</v>
      </c>
      <c r="B49" s="211"/>
      <c r="C49" s="229" t="s">
        <v>417</v>
      </c>
      <c r="D49" s="229" t="s">
        <v>417</v>
      </c>
      <c r="E49" s="202"/>
      <c r="F49" s="227"/>
      <c r="G49" s="214"/>
    </row>
    <row r="50" spans="1:7" ht="14" thickBot="1">
      <c r="A50" s="225" t="s">
        <v>38</v>
      </c>
      <c r="B50" s="226" t="s">
        <v>64</v>
      </c>
      <c r="C50" s="226" t="s">
        <v>395</v>
      </c>
      <c r="D50" s="226" t="s">
        <v>395</v>
      </c>
      <c r="E50" s="230"/>
      <c r="F50" s="227"/>
      <c r="G50" s="214"/>
    </row>
    <row r="51" spans="1:7">
      <c r="A51" s="204" t="s">
        <v>403</v>
      </c>
      <c r="B51" s="205" t="s">
        <v>420</v>
      </c>
      <c r="C51" s="205">
        <v>13.5</v>
      </c>
      <c r="D51" s="205">
        <v>13.5</v>
      </c>
      <c r="E51" s="213" t="s">
        <v>389</v>
      </c>
      <c r="F51" s="242">
        <v>100</v>
      </c>
      <c r="G51" s="240">
        <f t="shared" ref="G51:G55" si="1">D51*F51</f>
        <v>1350</v>
      </c>
    </row>
    <row r="52" spans="1:7">
      <c r="A52" s="204" t="s">
        <v>403</v>
      </c>
      <c r="B52" s="205" t="s">
        <v>418</v>
      </c>
      <c r="C52" s="205">
        <v>10.5</v>
      </c>
      <c r="D52" s="205">
        <v>10.5</v>
      </c>
      <c r="E52" s="213" t="s">
        <v>390</v>
      </c>
      <c r="F52" s="243">
        <v>56</v>
      </c>
      <c r="G52" s="241">
        <f t="shared" si="1"/>
        <v>588</v>
      </c>
    </row>
    <row r="53" spans="1:7">
      <c r="A53" s="204" t="s">
        <v>403</v>
      </c>
      <c r="B53" s="205" t="s">
        <v>404</v>
      </c>
      <c r="C53" s="205">
        <v>9.5</v>
      </c>
      <c r="D53" s="205">
        <v>9.5</v>
      </c>
      <c r="E53" s="213" t="s">
        <v>611</v>
      </c>
      <c r="F53" s="243">
        <v>67</v>
      </c>
      <c r="G53" s="241">
        <f t="shared" si="1"/>
        <v>636.5</v>
      </c>
    </row>
    <row r="54" spans="1:7">
      <c r="A54" s="235" t="s">
        <v>419</v>
      </c>
      <c r="B54" s="235" t="s">
        <v>420</v>
      </c>
      <c r="C54" s="235">
        <v>4</v>
      </c>
      <c r="D54" s="235">
        <v>4</v>
      </c>
      <c r="E54" s="197" t="s">
        <v>421</v>
      </c>
      <c r="F54" s="245">
        <v>69</v>
      </c>
      <c r="G54" s="241">
        <f t="shared" si="1"/>
        <v>276</v>
      </c>
    </row>
    <row r="55" spans="1:7">
      <c r="A55" s="235" t="s">
        <v>419</v>
      </c>
      <c r="B55" s="235" t="s">
        <v>420</v>
      </c>
      <c r="C55" s="235">
        <v>4</v>
      </c>
      <c r="D55" s="235">
        <v>4</v>
      </c>
      <c r="E55" s="197" t="s">
        <v>421</v>
      </c>
      <c r="F55" s="245">
        <v>69</v>
      </c>
      <c r="G55" s="241">
        <f t="shared" si="1"/>
        <v>276</v>
      </c>
    </row>
    <row r="56" spans="1:7" ht="14" thickBot="1">
      <c r="A56" s="216"/>
      <c r="B56" s="216"/>
      <c r="C56" s="216"/>
      <c r="D56" s="216"/>
      <c r="E56" s="218"/>
      <c r="F56" s="246" t="s">
        <v>408</v>
      </c>
      <c r="G56" s="195">
        <f>SUM(G51:G55)</f>
        <v>3126.5</v>
      </c>
    </row>
    <row r="57" spans="1:7" ht="16">
      <c r="A57" s="231" t="s">
        <v>426</v>
      </c>
      <c r="B57" s="232"/>
      <c r="C57" s="228" t="s">
        <v>428</v>
      </c>
      <c r="D57" s="228" t="s">
        <v>428</v>
      </c>
      <c r="E57" s="230"/>
      <c r="F57" s="227"/>
      <c r="G57" s="222"/>
    </row>
    <row r="58" spans="1:7" ht="14" thickBot="1">
      <c r="A58" s="208" t="s">
        <v>38</v>
      </c>
      <c r="B58" s="209" t="s">
        <v>64</v>
      </c>
      <c r="C58" s="209" t="s">
        <v>395</v>
      </c>
      <c r="D58" s="209" t="s">
        <v>395</v>
      </c>
      <c r="E58" s="203"/>
      <c r="F58" s="227"/>
      <c r="G58" s="222"/>
    </row>
    <row r="59" spans="1:7">
      <c r="A59" s="204" t="s">
        <v>423</v>
      </c>
      <c r="B59" s="233" t="s">
        <v>419</v>
      </c>
      <c r="C59" s="233">
        <v>11</v>
      </c>
      <c r="D59" s="233">
        <v>11</v>
      </c>
      <c r="E59" s="14" t="s">
        <v>389</v>
      </c>
      <c r="F59" s="248">
        <v>100</v>
      </c>
      <c r="G59" s="247">
        <f>D59*F59</f>
        <v>1100</v>
      </c>
    </row>
    <row r="60" spans="1:7">
      <c r="A60" s="236" t="s">
        <v>419</v>
      </c>
      <c r="B60" s="235" t="s">
        <v>425</v>
      </c>
      <c r="C60" s="237">
        <v>6</v>
      </c>
      <c r="D60" s="237">
        <v>6</v>
      </c>
      <c r="E60" s="197" t="s">
        <v>424</v>
      </c>
      <c r="F60" s="249">
        <v>125</v>
      </c>
      <c r="G60" s="238">
        <f>D60*F60</f>
        <v>750</v>
      </c>
    </row>
    <row r="61" spans="1:7">
      <c r="A61" s="204" t="s">
        <v>403</v>
      </c>
      <c r="B61" s="205" t="s">
        <v>418</v>
      </c>
      <c r="C61" s="236">
        <v>10.5</v>
      </c>
      <c r="D61" s="236">
        <v>10.5</v>
      </c>
      <c r="E61" s="197" t="s">
        <v>390</v>
      </c>
      <c r="F61" s="249">
        <v>69</v>
      </c>
      <c r="G61" s="238">
        <f>D61*F61</f>
        <v>724.5</v>
      </c>
    </row>
    <row r="62" spans="1:7">
      <c r="A62" s="234" t="s">
        <v>403</v>
      </c>
      <c r="B62" s="233" t="s">
        <v>404</v>
      </c>
      <c r="C62" s="233">
        <v>9.5</v>
      </c>
      <c r="D62" s="233">
        <v>9.5</v>
      </c>
      <c r="E62" s="14" t="s">
        <v>391</v>
      </c>
      <c r="F62" s="249">
        <v>69</v>
      </c>
      <c r="G62" s="238">
        <f>D62*F62</f>
        <v>655.5</v>
      </c>
    </row>
    <row r="63" spans="1:7">
      <c r="A63" s="235"/>
      <c r="B63" s="235"/>
      <c r="C63" s="235"/>
      <c r="D63" s="235">
        <v>9.5</v>
      </c>
      <c r="E63" s="197"/>
      <c r="F63" s="249"/>
      <c r="G63" s="238">
        <f>D63*F63</f>
        <v>0</v>
      </c>
    </row>
    <row r="64" spans="1:7">
      <c r="F64" s="250" t="s">
        <v>408</v>
      </c>
      <c r="G64" s="195">
        <f>SUM(G59:G63)</f>
        <v>3230</v>
      </c>
    </row>
    <row r="65" spans="1:7" ht="14" thickBot="1">
      <c r="F65" s="184"/>
    </row>
    <row r="66" spans="1:7" ht="16">
      <c r="A66" s="231" t="s">
        <v>430</v>
      </c>
      <c r="B66" s="232"/>
      <c r="C66" s="228" t="s">
        <v>431</v>
      </c>
      <c r="D66" s="228" t="s">
        <v>431</v>
      </c>
      <c r="E66" s="230"/>
      <c r="F66" s="227"/>
      <c r="G66" s="222"/>
    </row>
    <row r="67" spans="1:7" ht="14" thickBot="1">
      <c r="A67" s="208" t="s">
        <v>38</v>
      </c>
      <c r="B67" s="209" t="s">
        <v>64</v>
      </c>
      <c r="C67" s="209" t="s">
        <v>395</v>
      </c>
      <c r="D67" s="209" t="s">
        <v>395</v>
      </c>
      <c r="E67" s="203"/>
      <c r="F67" s="227"/>
      <c r="G67" s="222"/>
    </row>
    <row r="68" spans="1:7">
      <c r="A68" s="204" t="s">
        <v>403</v>
      </c>
      <c r="B68" s="205" t="s">
        <v>418</v>
      </c>
      <c r="C68" s="205">
        <v>11.5</v>
      </c>
      <c r="D68" s="205">
        <v>11.5</v>
      </c>
      <c r="E68" s="213" t="s">
        <v>389</v>
      </c>
      <c r="F68" s="252">
        <v>125</v>
      </c>
      <c r="G68" s="247">
        <f>D68*F68</f>
        <v>1437.5</v>
      </c>
    </row>
    <row r="69" spans="1:7">
      <c r="A69" s="204" t="s">
        <v>403</v>
      </c>
      <c r="B69" s="205" t="s">
        <v>418</v>
      </c>
      <c r="C69" s="236">
        <v>11.5</v>
      </c>
      <c r="D69" s="236">
        <v>11.5</v>
      </c>
      <c r="E69" s="197" t="s">
        <v>390</v>
      </c>
      <c r="F69" s="249">
        <v>74</v>
      </c>
      <c r="G69" s="251">
        <f>D69*F69</f>
        <v>851</v>
      </c>
    </row>
    <row r="70" spans="1:7" ht="14" thickBot="1">
      <c r="A70" s="204"/>
      <c r="B70" s="205"/>
      <c r="C70" s="236"/>
      <c r="D70" s="236"/>
      <c r="E70" s="197"/>
      <c r="F70" s="246" t="s">
        <v>408</v>
      </c>
      <c r="G70" s="195">
        <f>SUM(G68:G69)</f>
        <v>2288.5</v>
      </c>
    </row>
    <row r="71" spans="1:7" ht="16">
      <c r="A71" s="448" t="s">
        <v>435</v>
      </c>
      <c r="B71" s="449"/>
      <c r="C71" s="207" t="s">
        <v>434</v>
      </c>
      <c r="D71" s="207" t="s">
        <v>434</v>
      </c>
      <c r="E71" s="450"/>
      <c r="F71" s="447"/>
      <c r="G71" s="214"/>
    </row>
    <row r="72" spans="1:7" ht="14" thickBot="1">
      <c r="A72" s="208" t="s">
        <v>38</v>
      </c>
      <c r="B72" s="209" t="s">
        <v>64</v>
      </c>
      <c r="C72" s="209" t="s">
        <v>395</v>
      </c>
      <c r="D72" s="209" t="s">
        <v>395</v>
      </c>
      <c r="E72" s="451"/>
      <c r="F72" s="447"/>
      <c r="G72" s="214"/>
    </row>
    <row r="73" spans="1:7">
      <c r="A73" s="204" t="s">
        <v>403</v>
      </c>
      <c r="B73" s="205" t="s">
        <v>418</v>
      </c>
      <c r="C73" s="205">
        <v>11.5</v>
      </c>
      <c r="D73" s="205">
        <v>11.5</v>
      </c>
      <c r="E73" s="213" t="s">
        <v>389</v>
      </c>
      <c r="F73" s="242">
        <v>100</v>
      </c>
      <c r="G73" s="238">
        <f>D73*F73</f>
        <v>1150</v>
      </c>
    </row>
    <row r="74" spans="1:7">
      <c r="A74" s="204" t="s">
        <v>403</v>
      </c>
      <c r="B74" s="205" t="s">
        <v>404</v>
      </c>
      <c r="C74" s="205">
        <v>10.5</v>
      </c>
      <c r="D74" s="205">
        <v>10.5</v>
      </c>
      <c r="E74" s="213" t="s">
        <v>433</v>
      </c>
      <c r="F74" s="243">
        <v>56</v>
      </c>
      <c r="G74" s="238">
        <f>D74*F74</f>
        <v>588</v>
      </c>
    </row>
    <row r="75" spans="1:7">
      <c r="A75" s="204" t="s">
        <v>403</v>
      </c>
      <c r="B75" s="205" t="s">
        <v>405</v>
      </c>
      <c r="C75" s="205">
        <v>9.5</v>
      </c>
      <c r="D75" s="205">
        <v>9.5</v>
      </c>
      <c r="E75" s="213" t="s">
        <v>391</v>
      </c>
      <c r="F75" s="243">
        <v>56</v>
      </c>
      <c r="G75" s="238">
        <f>D75*F75</f>
        <v>532</v>
      </c>
    </row>
    <row r="76" spans="1:7">
      <c r="A76" s="204" t="s">
        <v>403</v>
      </c>
      <c r="B76" s="205" t="s">
        <v>405</v>
      </c>
      <c r="C76" s="205">
        <v>9.5</v>
      </c>
      <c r="D76" s="205">
        <v>9.5</v>
      </c>
      <c r="E76" s="213" t="s">
        <v>406</v>
      </c>
      <c r="F76" s="243">
        <v>67</v>
      </c>
      <c r="G76" s="238">
        <f>D76*F76</f>
        <v>636.5</v>
      </c>
    </row>
    <row r="77" spans="1:7">
      <c r="A77" s="204" t="s">
        <v>403</v>
      </c>
      <c r="B77" s="205" t="s">
        <v>405</v>
      </c>
      <c r="C77" s="205">
        <v>9.5</v>
      </c>
      <c r="D77" s="205">
        <v>9.5</v>
      </c>
      <c r="E77" s="213" t="s">
        <v>396</v>
      </c>
      <c r="F77" s="243">
        <v>67</v>
      </c>
      <c r="G77" s="238">
        <f>D77*F77</f>
        <v>636.5</v>
      </c>
    </row>
    <row r="78" spans="1:7" ht="14" thickBot="1">
      <c r="A78" s="204"/>
      <c r="B78" s="205"/>
      <c r="C78" s="205"/>
      <c r="D78" s="205"/>
      <c r="E78" s="213"/>
      <c r="F78" s="246" t="s">
        <v>408</v>
      </c>
      <c r="G78" s="195">
        <f>SUM(G73:G77)</f>
        <v>3543</v>
      </c>
    </row>
    <row r="79" spans="1:7" ht="16">
      <c r="A79" s="448" t="s">
        <v>436</v>
      </c>
      <c r="B79" s="449"/>
      <c r="C79" s="207" t="s">
        <v>434</v>
      </c>
      <c r="D79" s="207" t="s">
        <v>434</v>
      </c>
      <c r="E79" s="450"/>
      <c r="F79" s="447"/>
      <c r="G79" s="214"/>
    </row>
    <row r="80" spans="1:7" ht="14" thickBot="1">
      <c r="A80" s="208" t="s">
        <v>38</v>
      </c>
      <c r="B80" s="209" t="s">
        <v>64</v>
      </c>
      <c r="C80" s="209" t="s">
        <v>395</v>
      </c>
      <c r="D80" s="209" t="s">
        <v>395</v>
      </c>
      <c r="E80" s="451"/>
      <c r="F80" s="447"/>
      <c r="G80" s="214"/>
    </row>
    <row r="81" spans="1:7">
      <c r="A81" s="204" t="s">
        <v>403</v>
      </c>
      <c r="B81" s="205" t="s">
        <v>418</v>
      </c>
      <c r="C81" s="205">
        <v>11.5</v>
      </c>
      <c r="D81" s="205">
        <v>11.5</v>
      </c>
      <c r="E81" s="213" t="s">
        <v>389</v>
      </c>
      <c r="F81" s="242">
        <v>100</v>
      </c>
      <c r="G81" s="238">
        <f>D81*F81</f>
        <v>1150</v>
      </c>
    </row>
    <row r="82" spans="1:7">
      <c r="A82" s="204" t="s">
        <v>403</v>
      </c>
      <c r="B82" s="205" t="s">
        <v>404</v>
      </c>
      <c r="C82" s="205">
        <v>10.5</v>
      </c>
      <c r="D82" s="205">
        <v>10.5</v>
      </c>
      <c r="E82" s="213" t="s">
        <v>390</v>
      </c>
      <c r="F82" s="243">
        <v>56</v>
      </c>
      <c r="G82" s="238">
        <f>D82*F82</f>
        <v>588</v>
      </c>
    </row>
    <row r="83" spans="1:7">
      <c r="A83" s="204" t="s">
        <v>403</v>
      </c>
      <c r="B83" s="205" t="s">
        <v>405</v>
      </c>
      <c r="C83" s="205">
        <v>9.5</v>
      </c>
      <c r="D83" s="205">
        <v>9.5</v>
      </c>
      <c r="E83" s="213" t="s">
        <v>391</v>
      </c>
      <c r="F83" s="243">
        <v>56</v>
      </c>
      <c r="G83" s="238">
        <f>D83*F83</f>
        <v>532</v>
      </c>
    </row>
    <row r="84" spans="1:7">
      <c r="A84" s="204" t="s">
        <v>403</v>
      </c>
      <c r="B84" s="205" t="s">
        <v>405</v>
      </c>
      <c r="C84" s="205">
        <v>9.5</v>
      </c>
      <c r="D84" s="205">
        <v>9.5</v>
      </c>
      <c r="E84" s="213" t="s">
        <v>396</v>
      </c>
      <c r="F84" s="243">
        <v>67</v>
      </c>
      <c r="G84" s="238">
        <f>D84*F84</f>
        <v>636.5</v>
      </c>
    </row>
    <row r="85" spans="1:7">
      <c r="A85" s="204"/>
      <c r="B85" s="205"/>
      <c r="C85" s="205"/>
      <c r="D85" s="205"/>
      <c r="E85" s="213"/>
      <c r="F85" s="254" t="s">
        <v>408</v>
      </c>
      <c r="G85" s="247">
        <f>SUM(G81:G84)</f>
        <v>2906.5</v>
      </c>
    </row>
    <row r="86" spans="1:7">
      <c r="F86" s="255" t="s">
        <v>33</v>
      </c>
      <c r="G86" s="247">
        <f>G85+G78+G70+G64+G56+G48+G43+G33+G25+G17+G9</f>
        <v>28546</v>
      </c>
    </row>
    <row r="87" spans="1:7">
      <c r="F87" s="224" t="s">
        <v>384</v>
      </c>
      <c r="G87" s="238">
        <f>G86*0.1</f>
        <v>2854.6000000000004</v>
      </c>
    </row>
    <row r="88" spans="1:7" ht="17" thickBot="1">
      <c r="F88" s="256" t="s">
        <v>437</v>
      </c>
      <c r="G88" s="257">
        <f>SUM(G86:G87)</f>
        <v>31400.6</v>
      </c>
    </row>
    <row r="89" spans="1:7" ht="14" thickTop="1"/>
  </sheetData>
  <mergeCells count="23">
    <mergeCell ref="J1:P1"/>
    <mergeCell ref="A34:B34"/>
    <mergeCell ref="E34:E35"/>
    <mergeCell ref="F34:F35"/>
    <mergeCell ref="A18:B18"/>
    <mergeCell ref="E18:E19"/>
    <mergeCell ref="F18:F19"/>
    <mergeCell ref="A26:B26"/>
    <mergeCell ref="E26:E27"/>
    <mergeCell ref="F26:F27"/>
    <mergeCell ref="A1:F1"/>
    <mergeCell ref="A2:B2"/>
    <mergeCell ref="E2:E3"/>
    <mergeCell ref="F2:F3"/>
    <mergeCell ref="A10:B10"/>
    <mergeCell ref="E10:E11"/>
    <mergeCell ref="F10:F11"/>
    <mergeCell ref="A71:B71"/>
    <mergeCell ref="E71:E72"/>
    <mergeCell ref="F71:F72"/>
    <mergeCell ref="A79:B79"/>
    <mergeCell ref="E79:E80"/>
    <mergeCell ref="F79:F80"/>
  </mergeCells>
  <pageMargins left="0.7" right="0.7" top="0.75" bottom="0.75" header="0.3" footer="0.3"/>
  <pageSetup paperSize="8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73E2-E36E-D043-92E2-44329373115C}">
  <dimension ref="A1:H92"/>
  <sheetViews>
    <sheetView topLeftCell="B52" workbookViewId="0">
      <selection activeCell="H101" sqref="H101"/>
    </sheetView>
  </sheetViews>
  <sheetFormatPr baseColWidth="10" defaultRowHeight="13"/>
  <cols>
    <col min="1" max="1" width="21.5" customWidth="1"/>
    <col min="2" max="2" width="27.83203125" customWidth="1"/>
    <col min="3" max="3" width="39" bestFit="1" customWidth="1"/>
    <col min="4" max="4" width="34.6640625" customWidth="1"/>
    <col min="5" max="5" width="26" customWidth="1"/>
    <col min="6" max="6" width="30.83203125" customWidth="1"/>
    <col min="7" max="7" width="26.6640625" customWidth="1"/>
    <col min="8" max="8" width="11.1640625" bestFit="1" customWidth="1"/>
  </cols>
  <sheetData>
    <row r="1" spans="1:8" ht="23">
      <c r="A1" s="461" t="s">
        <v>440</v>
      </c>
      <c r="B1" s="462"/>
      <c r="C1" s="462"/>
      <c r="D1" s="462"/>
      <c r="E1" s="462"/>
      <c r="F1" s="462"/>
      <c r="G1" s="463"/>
      <c r="H1" s="212"/>
    </row>
    <row r="2" spans="1:8" ht="16">
      <c r="A2" s="459" t="s">
        <v>442</v>
      </c>
      <c r="B2" s="460"/>
      <c r="C2" s="258" t="s">
        <v>441</v>
      </c>
      <c r="D2" s="258" t="s">
        <v>443</v>
      </c>
      <c r="E2" s="259" t="s">
        <v>44</v>
      </c>
      <c r="F2" s="456" t="s">
        <v>388</v>
      </c>
      <c r="G2" s="456" t="s">
        <v>422</v>
      </c>
      <c r="H2" s="194" t="s">
        <v>398</v>
      </c>
    </row>
    <row r="3" spans="1:8" ht="18">
      <c r="A3" s="260"/>
      <c r="B3" s="261"/>
      <c r="C3" s="264" t="s">
        <v>444</v>
      </c>
      <c r="D3" s="265">
        <v>3</v>
      </c>
      <c r="E3" s="262" t="b">
        <v>0</v>
      </c>
      <c r="F3" s="457"/>
      <c r="G3" s="458"/>
      <c r="H3" s="215"/>
    </row>
    <row r="4" spans="1:8" ht="18">
      <c r="B4" s="263">
        <v>1</v>
      </c>
      <c r="C4" s="266" t="s">
        <v>445</v>
      </c>
      <c r="D4" s="265">
        <v>10</v>
      </c>
      <c r="E4" s="262" t="b">
        <v>0</v>
      </c>
      <c r="F4" s="177" t="s">
        <v>163</v>
      </c>
      <c r="G4" s="239">
        <v>115</v>
      </c>
    </row>
    <row r="5" spans="1:8" ht="18">
      <c r="B5" s="214">
        <v>2</v>
      </c>
      <c r="C5" s="266" t="s">
        <v>448</v>
      </c>
      <c r="D5" s="265">
        <v>3</v>
      </c>
      <c r="E5" s="262" t="b">
        <v>0</v>
      </c>
    </row>
    <row r="6" spans="1:8" ht="18">
      <c r="B6" s="214">
        <v>3</v>
      </c>
      <c r="C6" s="266" t="s">
        <v>446</v>
      </c>
      <c r="D6" s="265">
        <v>3</v>
      </c>
      <c r="E6" s="262" t="b">
        <v>0</v>
      </c>
    </row>
    <row r="7" spans="1:8" ht="18">
      <c r="B7" s="214">
        <v>4</v>
      </c>
      <c r="C7" s="266" t="s">
        <v>447</v>
      </c>
      <c r="D7" s="265">
        <v>3</v>
      </c>
      <c r="E7" s="262" t="b">
        <v>0</v>
      </c>
    </row>
    <row r="8" spans="1:8" ht="18">
      <c r="B8" s="214">
        <v>5</v>
      </c>
      <c r="C8" s="266" t="s">
        <v>449</v>
      </c>
      <c r="D8" s="265">
        <v>4</v>
      </c>
      <c r="E8" s="262" t="b">
        <v>0</v>
      </c>
    </row>
    <row r="9" spans="1:8" ht="18">
      <c r="B9" s="214">
        <v>6</v>
      </c>
      <c r="C9" s="266" t="s">
        <v>462</v>
      </c>
      <c r="D9" s="265">
        <v>3</v>
      </c>
      <c r="E9" s="262" t="b">
        <v>0</v>
      </c>
    </row>
    <row r="10" spans="1:8">
      <c r="B10" s="216"/>
      <c r="C10" s="268" t="s">
        <v>450</v>
      </c>
      <c r="D10" s="269">
        <f>SUM(D3:D9)</f>
        <v>29</v>
      </c>
      <c r="E10" s="267"/>
      <c r="F10" s="267"/>
      <c r="G10" s="267"/>
      <c r="H10" s="270">
        <f>G4*D10</f>
        <v>3335</v>
      </c>
    </row>
    <row r="11" spans="1:8" ht="16">
      <c r="A11" s="459" t="s">
        <v>463</v>
      </c>
      <c r="B11" s="460"/>
      <c r="C11" s="258" t="s">
        <v>441</v>
      </c>
      <c r="D11" s="258" t="s">
        <v>443</v>
      </c>
      <c r="E11" s="259" t="s">
        <v>44</v>
      </c>
      <c r="F11" s="456" t="s">
        <v>388</v>
      </c>
      <c r="G11" s="456" t="s">
        <v>422</v>
      </c>
      <c r="H11" s="194" t="s">
        <v>398</v>
      </c>
    </row>
    <row r="12" spans="1:8" ht="18">
      <c r="A12" s="260"/>
      <c r="B12" s="261"/>
      <c r="C12" s="264" t="s">
        <v>444</v>
      </c>
      <c r="D12" s="265">
        <v>3</v>
      </c>
      <c r="E12" s="262" t="b">
        <v>0</v>
      </c>
      <c r="F12" s="457"/>
      <c r="G12" s="458"/>
      <c r="H12" s="215"/>
    </row>
    <row r="13" spans="1:8" ht="18">
      <c r="B13" s="263">
        <v>1</v>
      </c>
      <c r="C13" s="266" t="s">
        <v>451</v>
      </c>
      <c r="D13" s="265">
        <v>3</v>
      </c>
      <c r="E13" s="262" t="b">
        <v>0</v>
      </c>
      <c r="F13" s="177" t="s">
        <v>163</v>
      </c>
      <c r="G13" s="239">
        <v>115</v>
      </c>
    </row>
    <row r="14" spans="1:8" ht="18">
      <c r="B14" s="214">
        <v>2</v>
      </c>
      <c r="C14" s="266" t="s">
        <v>452</v>
      </c>
      <c r="D14" s="265">
        <v>4</v>
      </c>
      <c r="E14" s="262" t="b">
        <v>0</v>
      </c>
      <c r="F14" s="177" t="s">
        <v>163</v>
      </c>
    </row>
    <row r="15" spans="1:8" ht="18">
      <c r="B15" s="214">
        <v>3</v>
      </c>
      <c r="C15" s="266" t="s">
        <v>461</v>
      </c>
      <c r="D15" s="265">
        <v>3</v>
      </c>
      <c r="E15" s="262" t="b">
        <v>0</v>
      </c>
      <c r="F15" s="177" t="s">
        <v>165</v>
      </c>
    </row>
    <row r="16" spans="1:8" ht="18">
      <c r="B16" s="214">
        <v>4</v>
      </c>
      <c r="C16" s="266" t="s">
        <v>453</v>
      </c>
      <c r="D16" s="265">
        <v>3</v>
      </c>
      <c r="E16" s="262" t="b">
        <v>0</v>
      </c>
      <c r="F16" s="177" t="s">
        <v>456</v>
      </c>
    </row>
    <row r="17" spans="1:8" ht="18">
      <c r="B17" s="214">
        <v>5</v>
      </c>
      <c r="C17" s="266" t="s">
        <v>454</v>
      </c>
      <c r="D17" s="265">
        <v>6</v>
      </c>
      <c r="E17" s="262" t="b">
        <v>0</v>
      </c>
      <c r="F17" s="177" t="s">
        <v>163</v>
      </c>
    </row>
    <row r="18" spans="1:8" ht="18">
      <c r="B18" s="214">
        <v>6</v>
      </c>
      <c r="C18" s="266" t="s">
        <v>455</v>
      </c>
      <c r="D18" s="265">
        <v>4</v>
      </c>
      <c r="E18" s="262" t="b">
        <v>0</v>
      </c>
      <c r="F18" s="177" t="s">
        <v>163</v>
      </c>
    </row>
    <row r="19" spans="1:8">
      <c r="B19" s="216"/>
      <c r="C19" s="271" t="s">
        <v>450</v>
      </c>
      <c r="D19" s="269">
        <f>SUM(D12:D18)</f>
        <v>26</v>
      </c>
      <c r="E19" s="267"/>
      <c r="F19" s="267"/>
      <c r="G19" s="267"/>
      <c r="H19" s="270">
        <f>G13*D19</f>
        <v>2990</v>
      </c>
    </row>
    <row r="20" spans="1:8" ht="16">
      <c r="A20" s="459" t="s">
        <v>464</v>
      </c>
      <c r="B20" s="460"/>
      <c r="C20" s="258" t="s">
        <v>441</v>
      </c>
      <c r="D20" s="258" t="s">
        <v>443</v>
      </c>
      <c r="E20" s="259" t="s">
        <v>44</v>
      </c>
      <c r="F20" s="456" t="s">
        <v>388</v>
      </c>
      <c r="G20" s="456" t="s">
        <v>422</v>
      </c>
      <c r="H20" s="194" t="s">
        <v>398</v>
      </c>
    </row>
    <row r="21" spans="1:8" ht="18">
      <c r="A21" s="260"/>
      <c r="B21" s="261"/>
      <c r="C21" s="264" t="s">
        <v>444</v>
      </c>
      <c r="D21" s="265">
        <v>3</v>
      </c>
      <c r="E21" s="262" t="b">
        <v>0</v>
      </c>
      <c r="F21" s="457"/>
      <c r="G21" s="458"/>
      <c r="H21" s="215"/>
    </row>
    <row r="22" spans="1:8" ht="18">
      <c r="B22" s="263">
        <v>1</v>
      </c>
      <c r="C22" s="266" t="s">
        <v>469</v>
      </c>
      <c r="D22" s="265">
        <v>1</v>
      </c>
      <c r="E22" s="262" t="b">
        <v>0</v>
      </c>
      <c r="F22" s="177" t="s">
        <v>163</v>
      </c>
      <c r="G22" s="239">
        <v>115</v>
      </c>
    </row>
    <row r="23" spans="1:8" ht="18">
      <c r="B23" s="214">
        <v>2</v>
      </c>
      <c r="C23" s="266" t="s">
        <v>457</v>
      </c>
      <c r="D23" s="265">
        <v>3</v>
      </c>
      <c r="E23" s="262" t="b">
        <v>0</v>
      </c>
    </row>
    <row r="24" spans="1:8" ht="18">
      <c r="B24" s="214">
        <v>3</v>
      </c>
      <c r="C24" s="266" t="s">
        <v>314</v>
      </c>
      <c r="D24" s="265">
        <v>3</v>
      </c>
      <c r="E24" s="262" t="b">
        <v>0</v>
      </c>
    </row>
    <row r="25" spans="1:8" ht="18">
      <c r="B25" s="214">
        <v>4</v>
      </c>
      <c r="C25" s="266" t="s">
        <v>470</v>
      </c>
      <c r="D25" s="265">
        <v>3</v>
      </c>
      <c r="E25" s="262" t="b">
        <v>0</v>
      </c>
    </row>
    <row r="26" spans="1:8" ht="18">
      <c r="B26" s="214">
        <v>5</v>
      </c>
      <c r="C26" s="266" t="s">
        <v>460</v>
      </c>
      <c r="D26" s="265">
        <v>3</v>
      </c>
      <c r="E26" s="262" t="b">
        <v>1</v>
      </c>
    </row>
    <row r="27" spans="1:8" ht="18">
      <c r="B27" s="214">
        <v>6</v>
      </c>
      <c r="C27" s="266" t="s">
        <v>471</v>
      </c>
      <c r="D27" s="265">
        <v>3</v>
      </c>
      <c r="E27" s="262" t="b">
        <v>0</v>
      </c>
    </row>
    <row r="28" spans="1:8">
      <c r="B28" s="216"/>
      <c r="C28" s="268" t="s">
        <v>450</v>
      </c>
      <c r="D28" s="269">
        <v>22</v>
      </c>
      <c r="E28" s="267"/>
      <c r="F28" s="267"/>
      <c r="G28" s="267"/>
      <c r="H28" s="270">
        <f>G22*D28</f>
        <v>2530</v>
      </c>
    </row>
    <row r="29" spans="1:8" ht="16">
      <c r="A29" s="459" t="s">
        <v>465</v>
      </c>
      <c r="B29" s="460"/>
      <c r="C29" s="258" t="s">
        <v>441</v>
      </c>
      <c r="D29" s="258" t="s">
        <v>443</v>
      </c>
      <c r="E29" s="259" t="s">
        <v>44</v>
      </c>
      <c r="F29" s="456" t="s">
        <v>388</v>
      </c>
      <c r="G29" s="456" t="s">
        <v>422</v>
      </c>
      <c r="H29" s="194" t="s">
        <v>398</v>
      </c>
    </row>
    <row r="30" spans="1:8" ht="18">
      <c r="A30" s="260"/>
      <c r="B30" s="261"/>
      <c r="C30" s="264" t="s">
        <v>444</v>
      </c>
      <c r="D30" s="265">
        <v>3</v>
      </c>
      <c r="E30" s="262" t="b">
        <v>0</v>
      </c>
      <c r="F30" s="457"/>
      <c r="G30" s="458"/>
      <c r="H30" s="215"/>
    </row>
    <row r="31" spans="1:8" ht="18">
      <c r="B31" s="263">
        <v>1</v>
      </c>
      <c r="C31" s="266" t="s">
        <v>445</v>
      </c>
      <c r="D31" s="265">
        <v>3</v>
      </c>
      <c r="E31" s="262" t="b">
        <v>0</v>
      </c>
      <c r="F31" s="177" t="s">
        <v>163</v>
      </c>
      <c r="G31" s="239">
        <v>115</v>
      </c>
    </row>
    <row r="32" spans="1:8" ht="18">
      <c r="B32" s="214">
        <v>2</v>
      </c>
      <c r="C32" s="266" t="s">
        <v>448</v>
      </c>
      <c r="D32" s="265">
        <v>3</v>
      </c>
      <c r="E32" s="262" t="b">
        <v>0</v>
      </c>
    </row>
    <row r="33" spans="1:8" ht="18">
      <c r="B33" s="214">
        <v>3</v>
      </c>
      <c r="C33" s="266" t="s">
        <v>446</v>
      </c>
      <c r="D33" s="265">
        <v>3</v>
      </c>
      <c r="E33" s="262" t="b">
        <v>0</v>
      </c>
    </row>
    <row r="34" spans="1:8" ht="18">
      <c r="B34" s="214">
        <v>4</v>
      </c>
      <c r="C34" s="266" t="s">
        <v>474</v>
      </c>
      <c r="D34" s="265">
        <v>3</v>
      </c>
      <c r="E34" s="262" t="b">
        <v>0</v>
      </c>
    </row>
    <row r="35" spans="1:8" ht="18">
      <c r="B35" s="214">
        <v>5</v>
      </c>
      <c r="C35" s="266" t="s">
        <v>458</v>
      </c>
      <c r="D35" s="265">
        <v>4</v>
      </c>
      <c r="E35" s="262" t="b">
        <v>0</v>
      </c>
    </row>
    <row r="36" spans="1:8" ht="18">
      <c r="B36" s="214">
        <v>6</v>
      </c>
      <c r="C36" s="266" t="s">
        <v>475</v>
      </c>
      <c r="D36" s="265">
        <v>3</v>
      </c>
      <c r="E36" s="262" t="b">
        <v>0</v>
      </c>
    </row>
    <row r="37" spans="1:8">
      <c r="B37" s="216"/>
      <c r="C37" s="268" t="s">
        <v>450</v>
      </c>
      <c r="D37" s="269">
        <v>22</v>
      </c>
      <c r="E37" s="267"/>
      <c r="F37" s="267"/>
      <c r="G37" s="267"/>
      <c r="H37" s="270">
        <f>G31*D37</f>
        <v>2530</v>
      </c>
    </row>
    <row r="38" spans="1:8" ht="16">
      <c r="A38" s="459" t="s">
        <v>466</v>
      </c>
      <c r="B38" s="460"/>
      <c r="C38" s="258" t="s">
        <v>441</v>
      </c>
      <c r="D38" s="258" t="s">
        <v>443</v>
      </c>
      <c r="E38" s="259" t="s">
        <v>44</v>
      </c>
      <c r="F38" s="456" t="s">
        <v>388</v>
      </c>
      <c r="G38" s="456" t="s">
        <v>422</v>
      </c>
      <c r="H38" s="194" t="s">
        <v>398</v>
      </c>
    </row>
    <row r="39" spans="1:8" ht="18">
      <c r="A39" s="260"/>
      <c r="B39" s="261"/>
      <c r="C39" s="264" t="s">
        <v>444</v>
      </c>
      <c r="D39" s="265">
        <v>3</v>
      </c>
      <c r="E39" s="262" t="b">
        <v>0</v>
      </c>
      <c r="F39" s="457"/>
      <c r="G39" s="458"/>
      <c r="H39" s="215"/>
    </row>
    <row r="40" spans="1:8" ht="18">
      <c r="B40" s="263">
        <v>1</v>
      </c>
      <c r="C40" s="266" t="s">
        <v>445</v>
      </c>
      <c r="D40" s="265">
        <v>2</v>
      </c>
      <c r="E40" s="262" t="b">
        <v>0</v>
      </c>
      <c r="F40" s="177" t="s">
        <v>163</v>
      </c>
      <c r="G40" s="239">
        <v>115</v>
      </c>
    </row>
    <row r="41" spans="1:8" ht="18">
      <c r="B41" s="214">
        <v>2</v>
      </c>
      <c r="C41" s="266" t="s">
        <v>476</v>
      </c>
      <c r="D41" s="265">
        <v>4</v>
      </c>
      <c r="E41" s="262" t="b">
        <v>0</v>
      </c>
      <c r="F41" s="177" t="s">
        <v>163</v>
      </c>
      <c r="G41" s="239">
        <v>115</v>
      </c>
    </row>
    <row r="42" spans="1:8" ht="18">
      <c r="B42" s="214">
        <v>3</v>
      </c>
      <c r="C42" s="266" t="s">
        <v>472</v>
      </c>
      <c r="D42" s="265">
        <v>3</v>
      </c>
      <c r="E42" s="262" t="b">
        <v>0</v>
      </c>
      <c r="F42" s="177" t="s">
        <v>483</v>
      </c>
    </row>
    <row r="43" spans="1:8" ht="18">
      <c r="B43" s="214">
        <v>4</v>
      </c>
      <c r="C43" s="266" t="s">
        <v>477</v>
      </c>
      <c r="D43" s="265">
        <v>4</v>
      </c>
      <c r="E43" s="262" t="b">
        <v>0</v>
      </c>
    </row>
    <row r="44" spans="1:8" ht="18">
      <c r="B44" s="214">
        <v>5</v>
      </c>
      <c r="C44" s="266" t="s">
        <v>473</v>
      </c>
      <c r="D44" s="265">
        <v>4</v>
      </c>
      <c r="E44" s="262" t="b">
        <v>0</v>
      </c>
    </row>
    <row r="45" spans="1:8" ht="18">
      <c r="B45" s="214">
        <v>6</v>
      </c>
      <c r="C45" s="266"/>
      <c r="D45" s="265">
        <v>4</v>
      </c>
      <c r="E45" s="262" t="b">
        <v>0</v>
      </c>
    </row>
    <row r="46" spans="1:8" ht="18">
      <c r="B46" s="214">
        <v>7</v>
      </c>
      <c r="C46" s="266" t="s">
        <v>481</v>
      </c>
      <c r="D46" s="265">
        <v>3</v>
      </c>
      <c r="E46" s="262" t="b">
        <v>0</v>
      </c>
    </row>
    <row r="47" spans="1:8">
      <c r="B47" s="216"/>
      <c r="C47" s="268" t="s">
        <v>450</v>
      </c>
      <c r="D47" s="269">
        <v>22</v>
      </c>
      <c r="E47" s="267"/>
      <c r="F47" s="267"/>
      <c r="G47" s="267"/>
      <c r="H47" s="270">
        <f>G40*D47</f>
        <v>2530</v>
      </c>
    </row>
    <row r="48" spans="1:8" ht="16">
      <c r="A48" s="459" t="s">
        <v>467</v>
      </c>
      <c r="B48" s="460"/>
      <c r="C48" s="258" t="s">
        <v>441</v>
      </c>
      <c r="D48" s="258" t="s">
        <v>443</v>
      </c>
      <c r="E48" s="259" t="s">
        <v>44</v>
      </c>
      <c r="F48" s="456" t="s">
        <v>388</v>
      </c>
      <c r="G48" s="456" t="s">
        <v>422</v>
      </c>
      <c r="H48" s="194" t="s">
        <v>398</v>
      </c>
    </row>
    <row r="49" spans="1:8" ht="18">
      <c r="A49" s="260"/>
      <c r="B49" s="261"/>
      <c r="C49" s="264" t="s">
        <v>444</v>
      </c>
      <c r="D49" s="265">
        <v>3</v>
      </c>
      <c r="E49" s="262" t="b">
        <v>0</v>
      </c>
      <c r="F49" s="457"/>
      <c r="G49" s="458"/>
      <c r="H49" s="215"/>
    </row>
    <row r="50" spans="1:8" ht="18">
      <c r="B50" s="263">
        <v>1</v>
      </c>
      <c r="C50" s="266" t="s">
        <v>478</v>
      </c>
      <c r="D50" s="265">
        <v>3</v>
      </c>
      <c r="E50" s="262" t="b">
        <v>0</v>
      </c>
      <c r="F50" s="177" t="s">
        <v>163</v>
      </c>
      <c r="G50" s="239">
        <v>115</v>
      </c>
    </row>
    <row r="51" spans="1:8" ht="18">
      <c r="B51" s="214">
        <v>2</v>
      </c>
      <c r="C51" s="266" t="s">
        <v>457</v>
      </c>
      <c r="D51" s="265">
        <v>3</v>
      </c>
      <c r="E51" s="262" t="b">
        <v>0</v>
      </c>
    </row>
    <row r="52" spans="1:8" ht="18">
      <c r="B52" s="214">
        <v>3</v>
      </c>
      <c r="C52" s="266" t="s">
        <v>479</v>
      </c>
      <c r="D52" s="265">
        <v>3</v>
      </c>
      <c r="E52" s="262" t="b">
        <v>0</v>
      </c>
      <c r="F52" s="14" t="s">
        <v>482</v>
      </c>
    </row>
    <row r="53" spans="1:8" ht="18">
      <c r="B53" s="214">
        <v>4</v>
      </c>
      <c r="C53" s="266" t="s">
        <v>480</v>
      </c>
      <c r="D53" s="265">
        <v>3</v>
      </c>
      <c r="E53" s="262" t="b">
        <v>0</v>
      </c>
    </row>
    <row r="54" spans="1:8" ht="18">
      <c r="B54" s="214">
        <v>5</v>
      </c>
      <c r="C54" s="266" t="s">
        <v>468</v>
      </c>
      <c r="D54" s="265">
        <v>4</v>
      </c>
      <c r="E54" s="262" t="b">
        <v>0</v>
      </c>
    </row>
    <row r="55" spans="1:8" ht="18">
      <c r="B55" s="214">
        <v>6</v>
      </c>
      <c r="C55" s="266" t="s">
        <v>459</v>
      </c>
      <c r="D55" s="265">
        <v>3</v>
      </c>
      <c r="E55" s="262" t="b">
        <v>0</v>
      </c>
    </row>
    <row r="56" spans="1:8">
      <c r="B56" s="216"/>
      <c r="C56" s="268" t="s">
        <v>450</v>
      </c>
      <c r="D56" s="269">
        <f>SUM(D49:D55)</f>
        <v>22</v>
      </c>
      <c r="E56" s="267"/>
      <c r="F56" s="267"/>
      <c r="G56" s="267"/>
      <c r="H56" s="270">
        <f>G50*D56</f>
        <v>2530</v>
      </c>
    </row>
    <row r="57" spans="1:8" ht="16">
      <c r="A57" s="459" t="s">
        <v>484</v>
      </c>
      <c r="B57" s="460"/>
      <c r="C57" s="258" t="s">
        <v>441</v>
      </c>
      <c r="D57" s="258" t="s">
        <v>443</v>
      </c>
      <c r="E57" s="259" t="s">
        <v>44</v>
      </c>
      <c r="F57" s="456" t="s">
        <v>388</v>
      </c>
      <c r="G57" s="456" t="s">
        <v>422</v>
      </c>
      <c r="H57" s="194" t="s">
        <v>398</v>
      </c>
    </row>
    <row r="58" spans="1:8" ht="18">
      <c r="A58" s="260"/>
      <c r="B58" s="261"/>
      <c r="C58" s="264" t="s">
        <v>444</v>
      </c>
      <c r="D58" s="265">
        <v>3</v>
      </c>
      <c r="E58" s="262" t="b">
        <v>0</v>
      </c>
      <c r="F58" s="457"/>
      <c r="G58" s="458"/>
      <c r="H58" s="215"/>
    </row>
    <row r="59" spans="1:8" ht="18">
      <c r="B59" s="263">
        <v>1</v>
      </c>
      <c r="C59" s="266" t="s">
        <v>478</v>
      </c>
      <c r="D59" s="265">
        <v>3</v>
      </c>
      <c r="E59" s="262" t="b">
        <v>0</v>
      </c>
      <c r="F59" s="177" t="s">
        <v>163</v>
      </c>
      <c r="G59" s="239">
        <v>115</v>
      </c>
    </row>
    <row r="60" spans="1:8" ht="18">
      <c r="B60" s="214">
        <v>2</v>
      </c>
      <c r="C60" s="266" t="s">
        <v>457</v>
      </c>
      <c r="D60" s="265">
        <v>3</v>
      </c>
      <c r="E60" s="262" t="b">
        <v>0</v>
      </c>
    </row>
    <row r="61" spans="1:8" ht="18">
      <c r="B61" s="214">
        <v>3</v>
      </c>
      <c r="C61" s="266" t="s">
        <v>479</v>
      </c>
      <c r="D61" s="265">
        <v>3</v>
      </c>
      <c r="E61" s="262" t="b">
        <v>0</v>
      </c>
      <c r="F61" s="14" t="s">
        <v>482</v>
      </c>
    </row>
    <row r="62" spans="1:8" ht="18">
      <c r="B62" s="214">
        <v>4</v>
      </c>
      <c r="C62" s="266" t="s">
        <v>480</v>
      </c>
      <c r="D62" s="265">
        <v>3</v>
      </c>
      <c r="E62" s="262" t="b">
        <v>0</v>
      </c>
    </row>
    <row r="63" spans="1:8" ht="18">
      <c r="B63" s="214">
        <v>5</v>
      </c>
      <c r="C63" s="266" t="s">
        <v>468</v>
      </c>
      <c r="D63" s="265">
        <v>4</v>
      </c>
      <c r="E63" s="262" t="b">
        <v>0</v>
      </c>
    </row>
    <row r="64" spans="1:8" ht="18">
      <c r="B64" s="214">
        <v>6</v>
      </c>
      <c r="C64" s="266" t="s">
        <v>459</v>
      </c>
      <c r="D64" s="265">
        <v>3</v>
      </c>
      <c r="E64" s="262" t="b">
        <v>0</v>
      </c>
    </row>
    <row r="65" spans="1:8">
      <c r="B65" s="216"/>
      <c r="C65" s="268" t="s">
        <v>450</v>
      </c>
      <c r="D65" s="269">
        <f>SUM(D58:D64)</f>
        <v>22</v>
      </c>
      <c r="E65" s="267"/>
      <c r="F65" s="267"/>
      <c r="G65" s="267"/>
      <c r="H65" s="270">
        <f>G59*D65</f>
        <v>2530</v>
      </c>
    </row>
    <row r="66" spans="1:8" ht="16">
      <c r="A66" s="459" t="s">
        <v>485</v>
      </c>
      <c r="B66" s="460"/>
      <c r="C66" s="258" t="s">
        <v>441</v>
      </c>
      <c r="D66" s="258" t="s">
        <v>443</v>
      </c>
      <c r="E66" s="259" t="s">
        <v>44</v>
      </c>
      <c r="F66" s="456" t="s">
        <v>388</v>
      </c>
      <c r="G66" s="456" t="s">
        <v>422</v>
      </c>
      <c r="H66" s="194" t="s">
        <v>398</v>
      </c>
    </row>
    <row r="67" spans="1:8" ht="18">
      <c r="A67" s="260"/>
      <c r="B67" s="261"/>
      <c r="C67" s="264" t="s">
        <v>444</v>
      </c>
      <c r="D67" s="265">
        <v>3</v>
      </c>
      <c r="E67" s="262" t="b">
        <v>0</v>
      </c>
      <c r="F67" s="457"/>
      <c r="G67" s="458"/>
      <c r="H67" s="215"/>
    </row>
    <row r="68" spans="1:8" ht="18">
      <c r="B68" s="263">
        <v>1</v>
      </c>
      <c r="C68" s="266" t="s">
        <v>478</v>
      </c>
      <c r="D68" s="265">
        <v>3</v>
      </c>
      <c r="E68" s="262" t="b">
        <v>0</v>
      </c>
      <c r="F68" s="177" t="s">
        <v>163</v>
      </c>
      <c r="G68" s="239">
        <v>115</v>
      </c>
    </row>
    <row r="69" spans="1:8" ht="18">
      <c r="B69" s="214">
        <v>2</v>
      </c>
      <c r="C69" s="266" t="s">
        <v>457</v>
      </c>
      <c r="D69" s="265">
        <v>3</v>
      </c>
      <c r="E69" s="262" t="b">
        <v>0</v>
      </c>
    </row>
    <row r="70" spans="1:8" ht="18">
      <c r="B70" s="214">
        <v>3</v>
      </c>
      <c r="C70" s="266" t="s">
        <v>479</v>
      </c>
      <c r="D70" s="265">
        <v>3</v>
      </c>
      <c r="E70" s="262" t="b">
        <v>0</v>
      </c>
      <c r="F70" s="14" t="s">
        <v>482</v>
      </c>
    </row>
    <row r="71" spans="1:8" ht="18">
      <c r="B71" s="214">
        <v>4</v>
      </c>
      <c r="C71" s="266" t="s">
        <v>480</v>
      </c>
      <c r="D71" s="265">
        <v>3</v>
      </c>
      <c r="E71" s="262" t="b">
        <v>0</v>
      </c>
    </row>
    <row r="72" spans="1:8" ht="18">
      <c r="B72" s="214">
        <v>5</v>
      </c>
      <c r="C72" s="266" t="s">
        <v>468</v>
      </c>
      <c r="D72" s="265">
        <v>4</v>
      </c>
      <c r="E72" s="262" t="b">
        <v>0</v>
      </c>
    </row>
    <row r="73" spans="1:8" ht="18">
      <c r="B73" s="214">
        <v>6</v>
      </c>
      <c r="C73" s="266" t="s">
        <v>459</v>
      </c>
      <c r="D73" s="265">
        <v>3</v>
      </c>
      <c r="E73" s="262" t="b">
        <v>0</v>
      </c>
    </row>
    <row r="74" spans="1:8">
      <c r="B74" s="216"/>
      <c r="C74" s="268" t="s">
        <v>450</v>
      </c>
      <c r="D74" s="269">
        <f>SUM(D67:D73)</f>
        <v>22</v>
      </c>
      <c r="E74" s="267"/>
      <c r="F74" s="267"/>
      <c r="G74" s="267"/>
      <c r="H74" s="270">
        <f>G68*D74</f>
        <v>2530</v>
      </c>
    </row>
    <row r="75" spans="1:8" ht="16">
      <c r="A75" s="459" t="s">
        <v>486</v>
      </c>
      <c r="B75" s="460"/>
      <c r="C75" s="258" t="s">
        <v>441</v>
      </c>
      <c r="D75" s="258" t="s">
        <v>443</v>
      </c>
      <c r="E75" s="259" t="s">
        <v>44</v>
      </c>
      <c r="F75" s="456" t="s">
        <v>388</v>
      </c>
      <c r="G75" s="456" t="s">
        <v>422</v>
      </c>
      <c r="H75" s="194" t="s">
        <v>398</v>
      </c>
    </row>
    <row r="76" spans="1:8" ht="18">
      <c r="A76" s="260"/>
      <c r="B76" s="261"/>
      <c r="C76" s="264" t="s">
        <v>444</v>
      </c>
      <c r="D76" s="265">
        <v>3</v>
      </c>
      <c r="E76" s="262" t="b">
        <v>0</v>
      </c>
      <c r="F76" s="457"/>
      <c r="G76" s="458"/>
      <c r="H76" s="215"/>
    </row>
    <row r="77" spans="1:8" ht="18">
      <c r="B77" s="263">
        <v>1</v>
      </c>
      <c r="C77" s="266" t="s">
        <v>478</v>
      </c>
      <c r="D77" s="265">
        <v>3</v>
      </c>
      <c r="E77" s="262" t="b">
        <v>0</v>
      </c>
      <c r="F77" s="177" t="s">
        <v>163</v>
      </c>
      <c r="G77" s="239">
        <v>115</v>
      </c>
    </row>
    <row r="78" spans="1:8" ht="18">
      <c r="B78" s="214">
        <v>2</v>
      </c>
      <c r="C78" s="266" t="s">
        <v>457</v>
      </c>
      <c r="D78" s="265">
        <v>3</v>
      </c>
      <c r="E78" s="262" t="b">
        <v>0</v>
      </c>
    </row>
    <row r="79" spans="1:8" ht="18">
      <c r="B79" s="214">
        <v>3</v>
      </c>
      <c r="C79" s="266" t="s">
        <v>479</v>
      </c>
      <c r="D79" s="265">
        <v>3</v>
      </c>
      <c r="E79" s="262" t="b">
        <v>0</v>
      </c>
      <c r="F79" s="14" t="s">
        <v>482</v>
      </c>
    </row>
    <row r="80" spans="1:8" ht="18">
      <c r="B80" s="214">
        <v>4</v>
      </c>
      <c r="C80" s="266" t="s">
        <v>480</v>
      </c>
      <c r="D80" s="265">
        <v>3</v>
      </c>
      <c r="E80" s="262" t="b">
        <v>0</v>
      </c>
    </row>
    <row r="81" spans="1:8" ht="18">
      <c r="B81" s="214">
        <v>5</v>
      </c>
      <c r="C81" s="266" t="s">
        <v>468</v>
      </c>
      <c r="D81" s="265">
        <v>4</v>
      </c>
      <c r="E81" s="262" t="b">
        <v>0</v>
      </c>
    </row>
    <row r="82" spans="1:8" ht="18">
      <c r="B82" s="214">
        <v>6</v>
      </c>
      <c r="C82" s="266" t="s">
        <v>459</v>
      </c>
      <c r="D82" s="265">
        <v>3</v>
      </c>
      <c r="E82" s="262" t="b">
        <v>0</v>
      </c>
    </row>
    <row r="83" spans="1:8">
      <c r="B83" s="216"/>
      <c r="C83" s="268" t="s">
        <v>450</v>
      </c>
      <c r="D83" s="269">
        <f>SUM(D76:D82)</f>
        <v>22</v>
      </c>
      <c r="E83" s="267"/>
      <c r="F83" s="267"/>
      <c r="G83" s="267"/>
      <c r="H83" s="270">
        <f>G77*D83</f>
        <v>2530</v>
      </c>
    </row>
    <row r="84" spans="1:8" ht="16">
      <c r="A84" s="459" t="s">
        <v>487</v>
      </c>
      <c r="B84" s="460"/>
      <c r="C84" s="258" t="s">
        <v>441</v>
      </c>
      <c r="D84" s="258" t="s">
        <v>443</v>
      </c>
      <c r="E84" s="259" t="s">
        <v>44</v>
      </c>
      <c r="F84" s="456" t="s">
        <v>388</v>
      </c>
      <c r="G84" s="456" t="s">
        <v>422</v>
      </c>
      <c r="H84" s="194" t="s">
        <v>398</v>
      </c>
    </row>
    <row r="85" spans="1:8" ht="18">
      <c r="A85" s="260"/>
      <c r="B85" s="261"/>
      <c r="C85" s="264" t="s">
        <v>444</v>
      </c>
      <c r="D85" s="265">
        <v>3</v>
      </c>
      <c r="E85" s="262" t="b">
        <v>0</v>
      </c>
      <c r="F85" s="457"/>
      <c r="G85" s="458"/>
      <c r="H85" s="215"/>
    </row>
    <row r="86" spans="1:8" ht="18">
      <c r="B86" s="263">
        <v>1</v>
      </c>
      <c r="C86" s="266" t="s">
        <v>478</v>
      </c>
      <c r="D86" s="265">
        <v>3</v>
      </c>
      <c r="E86" s="262" t="b">
        <v>0</v>
      </c>
      <c r="F86" s="177" t="s">
        <v>163</v>
      </c>
      <c r="G86" s="239">
        <v>115</v>
      </c>
    </row>
    <row r="87" spans="1:8" ht="18">
      <c r="B87" s="214">
        <v>2</v>
      </c>
      <c r="C87" s="266" t="s">
        <v>457</v>
      </c>
      <c r="D87" s="265">
        <v>3</v>
      </c>
      <c r="E87" s="262" t="b">
        <v>0</v>
      </c>
    </row>
    <row r="88" spans="1:8" ht="18">
      <c r="B88" s="214">
        <v>3</v>
      </c>
      <c r="C88" s="266" t="s">
        <v>479</v>
      </c>
      <c r="D88" s="265">
        <v>3</v>
      </c>
      <c r="E88" s="262" t="b">
        <v>0</v>
      </c>
      <c r="F88" s="14" t="s">
        <v>482</v>
      </c>
    </row>
    <row r="89" spans="1:8" ht="18">
      <c r="B89" s="214">
        <v>4</v>
      </c>
      <c r="C89" s="266" t="s">
        <v>480</v>
      </c>
      <c r="D89" s="265">
        <v>3</v>
      </c>
      <c r="E89" s="262" t="b">
        <v>0</v>
      </c>
    </row>
    <row r="90" spans="1:8" ht="18">
      <c r="B90" s="214">
        <v>5</v>
      </c>
      <c r="C90" s="266" t="s">
        <v>468</v>
      </c>
      <c r="D90" s="265">
        <v>4</v>
      </c>
      <c r="E90" s="262" t="b">
        <v>0</v>
      </c>
    </row>
    <row r="91" spans="1:8" ht="18">
      <c r="B91" s="214">
        <v>6</v>
      </c>
      <c r="C91" s="266" t="s">
        <v>459</v>
      </c>
      <c r="D91" s="265">
        <v>3</v>
      </c>
      <c r="E91" s="262" t="b">
        <v>0</v>
      </c>
    </row>
    <row r="92" spans="1:8">
      <c r="B92" s="216"/>
      <c r="C92" s="268" t="s">
        <v>450</v>
      </c>
      <c r="D92" s="269">
        <f>SUM(D85:D91)</f>
        <v>22</v>
      </c>
      <c r="E92" s="267"/>
      <c r="F92" s="267"/>
      <c r="G92" s="267"/>
      <c r="H92" s="270">
        <f>G86*D92</f>
        <v>2530</v>
      </c>
    </row>
  </sheetData>
  <mergeCells count="31">
    <mergeCell ref="A1:G1"/>
    <mergeCell ref="A2:B2"/>
    <mergeCell ref="F2:F3"/>
    <mergeCell ref="G2:G3"/>
    <mergeCell ref="A11:B11"/>
    <mergeCell ref="F11:F12"/>
    <mergeCell ref="G11:G12"/>
    <mergeCell ref="A20:B20"/>
    <mergeCell ref="F20:F21"/>
    <mergeCell ref="G20:G21"/>
    <mergeCell ref="A29:B29"/>
    <mergeCell ref="F29:F30"/>
    <mergeCell ref="G29:G30"/>
    <mergeCell ref="A38:B38"/>
    <mergeCell ref="F38:F39"/>
    <mergeCell ref="G38:G39"/>
    <mergeCell ref="A48:B48"/>
    <mergeCell ref="F48:F49"/>
    <mergeCell ref="G48:G49"/>
    <mergeCell ref="A57:B57"/>
    <mergeCell ref="F57:F58"/>
    <mergeCell ref="G57:G58"/>
    <mergeCell ref="A66:B66"/>
    <mergeCell ref="F66:F67"/>
    <mergeCell ref="G66:G67"/>
    <mergeCell ref="A75:B75"/>
    <mergeCell ref="F75:F76"/>
    <mergeCell ref="G75:G76"/>
    <mergeCell ref="A84:B84"/>
    <mergeCell ref="F84:F85"/>
    <mergeCell ref="G84:G85"/>
  </mergeCells>
  <pageMargins left="0.7" right="0.7" top="0.75" bottom="0.75" header="0.3" footer="0.3"/>
  <pageSetup paperSize="8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3"/>
  <sheetViews>
    <sheetView tabSelected="1" zoomScale="89" zoomScaleNormal="89" workbookViewId="0">
      <selection activeCell="A33" sqref="A33"/>
    </sheetView>
  </sheetViews>
  <sheetFormatPr baseColWidth="10" defaultColWidth="12.6640625" defaultRowHeight="15.75" customHeight="1"/>
  <cols>
    <col min="1" max="1" width="75.5" bestFit="1" customWidth="1"/>
    <col min="2" max="2" width="21.33203125" bestFit="1" customWidth="1"/>
    <col min="3" max="3" width="19.83203125" customWidth="1"/>
    <col min="4" max="4" width="24.33203125" bestFit="1" customWidth="1"/>
    <col min="5" max="5" width="25.33203125" customWidth="1"/>
    <col min="6" max="6" width="21.5" customWidth="1"/>
    <col min="7" max="7" width="16.33203125" customWidth="1"/>
    <col min="8" max="8" width="24.5" customWidth="1"/>
    <col min="9" max="9" width="29.5" customWidth="1"/>
    <col min="10" max="22" width="12.6640625" hidden="1" customWidth="1"/>
    <col min="23" max="23" width="32" customWidth="1"/>
    <col min="27" max="27" width="47" bestFit="1" customWidth="1"/>
  </cols>
  <sheetData>
    <row r="1" spans="1:27" ht="13" customHeight="1">
      <c r="A1" s="482" t="s">
        <v>155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4"/>
    </row>
    <row r="2" spans="1:27" ht="54" customHeight="1">
      <c r="A2" s="485"/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486"/>
      <c r="U2" s="486"/>
      <c r="V2" s="486"/>
      <c r="W2" s="487"/>
    </row>
    <row r="3" spans="1:27" ht="27" customHeight="1" thickBot="1">
      <c r="A3" s="474" t="s">
        <v>156</v>
      </c>
      <c r="B3" s="475"/>
      <c r="C3" s="475"/>
      <c r="D3" s="475"/>
      <c r="E3" s="475"/>
      <c r="F3" s="476"/>
      <c r="G3" s="488" t="s">
        <v>27</v>
      </c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9"/>
    </row>
    <row r="4" spans="1:27" ht="29" customHeight="1" thickBot="1">
      <c r="A4" s="133" t="s">
        <v>28</v>
      </c>
      <c r="B4" s="133" t="s">
        <v>14</v>
      </c>
      <c r="C4" s="133" t="s">
        <v>29</v>
      </c>
      <c r="D4" s="133" t="s">
        <v>593</v>
      </c>
      <c r="E4" s="134" t="s">
        <v>30</v>
      </c>
      <c r="F4" s="135" t="s">
        <v>331</v>
      </c>
      <c r="G4" s="133" t="s">
        <v>31</v>
      </c>
      <c r="H4" s="137" t="s">
        <v>18</v>
      </c>
      <c r="I4" s="490" t="s">
        <v>32</v>
      </c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2"/>
      <c r="Y4" s="292" t="s">
        <v>503</v>
      </c>
      <c r="Z4" s="493" t="s">
        <v>507</v>
      </c>
      <c r="AA4" s="494"/>
    </row>
    <row r="5" spans="1:27" ht="26" customHeight="1" thickBot="1">
      <c r="A5" s="477" t="s">
        <v>523</v>
      </c>
      <c r="B5" s="478"/>
      <c r="C5" s="478"/>
      <c r="D5" s="478"/>
      <c r="E5" s="478"/>
      <c r="F5" s="478"/>
      <c r="G5" s="478"/>
      <c r="H5" s="478"/>
      <c r="I5" s="478"/>
      <c r="J5" s="478"/>
      <c r="K5" s="478"/>
      <c r="L5" s="478"/>
      <c r="M5" s="478"/>
      <c r="N5" s="478"/>
      <c r="O5" s="478"/>
      <c r="P5" s="478"/>
      <c r="Q5" s="478"/>
      <c r="R5" s="478"/>
      <c r="S5" s="478"/>
      <c r="T5" s="478"/>
      <c r="U5" s="478"/>
      <c r="V5" s="478"/>
      <c r="W5" s="479"/>
    </row>
    <row r="6" spans="1:27" ht="103" thickBot="1">
      <c r="A6" s="381" t="s">
        <v>601</v>
      </c>
      <c r="B6" s="85" t="s">
        <v>311</v>
      </c>
      <c r="C6" s="86"/>
      <c r="D6" s="87">
        <f>1400+1000+1000+400+1400+2160</f>
        <v>7360</v>
      </c>
      <c r="E6" s="88"/>
      <c r="F6" s="89"/>
      <c r="G6" s="90"/>
      <c r="H6" s="90"/>
      <c r="I6" s="464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6"/>
      <c r="Y6" s="298" t="s">
        <v>504</v>
      </c>
      <c r="Z6" s="286" t="s">
        <v>493</v>
      </c>
      <c r="AA6" s="287" t="s">
        <v>20</v>
      </c>
    </row>
    <row r="7" spans="1:27" ht="18" thickBot="1">
      <c r="A7" s="381" t="s">
        <v>604</v>
      </c>
      <c r="B7" s="85" t="s">
        <v>311</v>
      </c>
      <c r="C7" s="86"/>
      <c r="D7" s="87">
        <v>2160</v>
      </c>
      <c r="E7" s="88"/>
      <c r="F7" s="89"/>
      <c r="G7" s="90"/>
      <c r="H7" s="90"/>
      <c r="I7" s="319"/>
      <c r="J7" s="320"/>
      <c r="K7" s="320"/>
      <c r="L7" s="320"/>
      <c r="M7" s="320"/>
      <c r="N7" s="320"/>
      <c r="O7" s="320"/>
      <c r="P7" s="320"/>
      <c r="Q7" s="320"/>
      <c r="R7" s="320"/>
      <c r="S7" s="320"/>
      <c r="T7" s="320"/>
      <c r="U7" s="320"/>
      <c r="V7" s="320"/>
      <c r="W7" s="321"/>
      <c r="Y7" s="378"/>
      <c r="Z7" s="379"/>
      <c r="AA7" s="287"/>
    </row>
    <row r="8" spans="1:27" ht="17" thickBot="1">
      <c r="A8" s="380" t="s">
        <v>602</v>
      </c>
      <c r="B8" s="85" t="s">
        <v>524</v>
      </c>
      <c r="C8" s="86"/>
      <c r="D8" s="87"/>
      <c r="E8" s="88"/>
      <c r="F8" s="89"/>
      <c r="G8" s="90"/>
      <c r="H8" s="90"/>
      <c r="I8" s="464"/>
      <c r="J8" s="465"/>
      <c r="K8" s="465"/>
      <c r="L8" s="465"/>
      <c r="M8" s="465"/>
      <c r="N8" s="465"/>
      <c r="O8" s="465"/>
      <c r="P8" s="465"/>
      <c r="Q8" s="465"/>
      <c r="R8" s="465"/>
      <c r="S8" s="465"/>
      <c r="T8" s="465"/>
      <c r="U8" s="465"/>
      <c r="V8" s="465"/>
      <c r="W8" s="466"/>
      <c r="Y8" s="495" t="s">
        <v>311</v>
      </c>
      <c r="Z8" s="496"/>
      <c r="AA8" s="497"/>
    </row>
    <row r="9" spans="1:27" ht="17" thickBot="1">
      <c r="A9" s="121" t="s">
        <v>606</v>
      </c>
      <c r="B9" s="85" t="s">
        <v>524</v>
      </c>
      <c r="C9" s="86"/>
      <c r="D9" s="87"/>
      <c r="E9" s="88"/>
      <c r="F9" s="89"/>
      <c r="G9" s="90"/>
      <c r="H9" s="90"/>
      <c r="I9" s="464"/>
      <c r="J9" s="465"/>
      <c r="K9" s="465"/>
      <c r="L9" s="465"/>
      <c r="M9" s="465"/>
      <c r="N9" s="465"/>
      <c r="O9" s="465"/>
      <c r="P9" s="465"/>
      <c r="Q9" s="465"/>
      <c r="R9" s="465"/>
      <c r="S9" s="465"/>
      <c r="T9" s="465"/>
      <c r="U9" s="465"/>
      <c r="V9" s="465"/>
      <c r="W9" s="466"/>
      <c r="Y9" s="296"/>
      <c r="Z9" s="322" t="s">
        <v>522</v>
      </c>
      <c r="AA9" s="323" t="s">
        <v>489</v>
      </c>
    </row>
    <row r="10" spans="1:27" ht="16">
      <c r="A10" s="122" t="s">
        <v>603</v>
      </c>
      <c r="B10" s="85" t="s">
        <v>524</v>
      </c>
      <c r="C10" s="86"/>
      <c r="D10" s="87"/>
      <c r="E10" s="88"/>
      <c r="F10" s="89"/>
      <c r="G10" s="90"/>
      <c r="H10" s="90"/>
      <c r="I10" s="464"/>
      <c r="J10" s="465"/>
      <c r="K10" s="465"/>
      <c r="L10" s="465"/>
      <c r="M10" s="465"/>
      <c r="N10" s="465"/>
      <c r="O10" s="465"/>
      <c r="P10" s="465"/>
      <c r="Q10" s="465"/>
      <c r="R10" s="465"/>
      <c r="S10" s="465"/>
      <c r="T10" s="465"/>
      <c r="U10" s="465"/>
      <c r="V10" s="465"/>
      <c r="W10" s="466"/>
      <c r="Y10" s="296"/>
      <c r="Z10" s="294"/>
      <c r="AA10" s="284" t="s">
        <v>490</v>
      </c>
    </row>
    <row r="11" spans="1:27" ht="16">
      <c r="A11" s="382" t="s">
        <v>608</v>
      </c>
      <c r="B11" s="85" t="s">
        <v>311</v>
      </c>
      <c r="C11" s="86"/>
      <c r="D11" s="87">
        <f>325*2</f>
        <v>650</v>
      </c>
      <c r="E11" s="88"/>
      <c r="F11" s="89"/>
      <c r="G11" s="90"/>
      <c r="H11" s="90"/>
      <c r="I11" s="319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1"/>
      <c r="Y11" s="296"/>
      <c r="Z11" s="294"/>
      <c r="AA11" s="284"/>
    </row>
    <row r="12" spans="1:27" ht="16">
      <c r="A12" s="123" t="s">
        <v>605</v>
      </c>
      <c r="B12" s="85" t="s">
        <v>607</v>
      </c>
      <c r="C12" s="86"/>
      <c r="D12" s="87"/>
      <c r="E12" s="88"/>
      <c r="F12" s="89"/>
      <c r="G12" s="90"/>
      <c r="H12" s="90"/>
      <c r="I12" s="464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6"/>
      <c r="Y12" s="296"/>
      <c r="Z12" s="294"/>
      <c r="AA12" s="284"/>
    </row>
    <row r="13" spans="1:27" ht="16">
      <c r="A13" s="127" t="s">
        <v>33</v>
      </c>
      <c r="B13" s="85"/>
      <c r="C13" s="86"/>
      <c r="D13" s="138">
        <f t="shared" ref="D13:E13" si="0">SUM(D6:D12)</f>
        <v>10170</v>
      </c>
      <c r="E13" s="139">
        <f t="shared" si="0"/>
        <v>0</v>
      </c>
      <c r="F13" s="89"/>
      <c r="G13" s="90"/>
      <c r="H13" s="90"/>
      <c r="I13" s="464"/>
      <c r="J13" s="465"/>
      <c r="K13" s="465"/>
      <c r="L13" s="465"/>
      <c r="M13" s="465"/>
      <c r="N13" s="465"/>
      <c r="O13" s="465"/>
      <c r="P13" s="465"/>
      <c r="Q13" s="465"/>
      <c r="R13" s="465"/>
      <c r="S13" s="465"/>
      <c r="T13" s="465"/>
      <c r="U13" s="465"/>
      <c r="V13" s="465"/>
      <c r="W13" s="466"/>
      <c r="Y13" s="296"/>
      <c r="Z13" s="285" t="s">
        <v>51</v>
      </c>
      <c r="AA13" s="284" t="s">
        <v>491</v>
      </c>
    </row>
    <row r="14" spans="1:27" ht="17" thickBot="1">
      <c r="A14" s="467" t="s">
        <v>34</v>
      </c>
      <c r="B14" s="480"/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0"/>
      <c r="Q14" s="480"/>
      <c r="R14" s="480"/>
      <c r="S14" s="480"/>
      <c r="T14" s="480"/>
      <c r="U14" s="480"/>
      <c r="V14" s="480"/>
      <c r="W14" s="481"/>
      <c r="Y14" s="296"/>
      <c r="Z14" s="285" t="s">
        <v>61</v>
      </c>
      <c r="AA14" s="295">
        <v>46237</v>
      </c>
    </row>
    <row r="15" spans="1:27" ht="17" thickBot="1">
      <c r="A15" s="282" t="s">
        <v>249</v>
      </c>
      <c r="B15" s="92" t="s">
        <v>46</v>
      </c>
      <c r="C15" s="86"/>
      <c r="D15" s="87">
        <v>350</v>
      </c>
      <c r="E15" s="88"/>
      <c r="F15" s="89"/>
      <c r="G15" s="90"/>
      <c r="H15" s="90"/>
      <c r="I15" s="464"/>
      <c r="J15" s="465"/>
      <c r="K15" s="465"/>
      <c r="L15" s="465"/>
      <c r="M15" s="465"/>
      <c r="N15" s="465"/>
      <c r="O15" s="465"/>
      <c r="P15" s="465"/>
      <c r="Q15" s="465"/>
      <c r="R15" s="465"/>
      <c r="S15" s="465"/>
      <c r="T15" s="465"/>
      <c r="U15" s="465"/>
      <c r="V15" s="465"/>
      <c r="W15" s="466"/>
      <c r="Y15" s="297"/>
      <c r="Z15" s="290" t="s">
        <v>42</v>
      </c>
      <c r="AA15" s="295">
        <v>46245</v>
      </c>
    </row>
    <row r="16" spans="1:27" ht="17" thickBot="1">
      <c r="A16" s="282" t="s">
        <v>612</v>
      </c>
      <c r="B16" s="92"/>
      <c r="C16" s="86"/>
      <c r="D16" s="87"/>
      <c r="E16" s="88"/>
      <c r="F16" s="89"/>
      <c r="G16" s="90"/>
      <c r="H16" s="90"/>
      <c r="I16" s="464"/>
      <c r="J16" s="465"/>
      <c r="K16" s="465"/>
      <c r="L16" s="465"/>
      <c r="M16" s="465"/>
      <c r="N16" s="465"/>
      <c r="O16" s="465"/>
      <c r="P16" s="465"/>
      <c r="Q16" s="465"/>
      <c r="R16" s="465"/>
      <c r="S16" s="465"/>
      <c r="T16" s="465"/>
      <c r="U16" s="465"/>
      <c r="V16" s="465"/>
      <c r="W16" s="466"/>
      <c r="AA16" s="291" t="s">
        <v>500</v>
      </c>
    </row>
    <row r="17" spans="1:27" ht="17" thickBot="1">
      <c r="A17" s="121" t="s">
        <v>613</v>
      </c>
      <c r="B17" s="92"/>
      <c r="C17" s="86"/>
      <c r="D17" s="87"/>
      <c r="E17" s="88"/>
      <c r="F17" s="89"/>
      <c r="G17" s="90"/>
      <c r="H17" s="90"/>
      <c r="I17" s="464"/>
      <c r="J17" s="465"/>
      <c r="K17" s="465"/>
      <c r="L17" s="465"/>
      <c r="M17" s="465"/>
      <c r="N17" s="465"/>
      <c r="O17" s="465"/>
      <c r="P17" s="465"/>
      <c r="Q17" s="465"/>
      <c r="R17" s="465"/>
      <c r="S17" s="465"/>
      <c r="T17" s="465"/>
      <c r="U17" s="465"/>
      <c r="V17" s="465"/>
      <c r="W17" s="466"/>
      <c r="Y17" s="298" t="s">
        <v>505</v>
      </c>
      <c r="Z17" s="286" t="s">
        <v>498</v>
      </c>
    </row>
    <row r="18" spans="1:27" ht="17" thickBot="1">
      <c r="A18" s="122" t="s">
        <v>594</v>
      </c>
      <c r="B18" s="92" t="s">
        <v>614</v>
      </c>
      <c r="C18" s="86"/>
      <c r="D18" s="87"/>
      <c r="E18" s="88"/>
      <c r="F18" s="89"/>
      <c r="G18" s="90"/>
      <c r="H18" s="90"/>
      <c r="I18" s="464"/>
      <c r="J18" s="465"/>
      <c r="K18" s="465"/>
      <c r="L18" s="465"/>
      <c r="M18" s="465"/>
      <c r="N18" s="465"/>
      <c r="O18" s="465"/>
      <c r="P18" s="465"/>
      <c r="Q18" s="465"/>
      <c r="R18" s="465"/>
      <c r="S18" s="465"/>
      <c r="T18" s="465"/>
      <c r="U18" s="465"/>
      <c r="V18" s="465"/>
      <c r="W18" s="466"/>
      <c r="Y18" s="296"/>
      <c r="Z18" s="283" t="s">
        <v>492</v>
      </c>
      <c r="AA18" s="287" t="s">
        <v>499</v>
      </c>
    </row>
    <row r="19" spans="1:27" ht="17" thickBot="1">
      <c r="A19" s="123"/>
      <c r="B19" s="92"/>
      <c r="C19" s="86"/>
      <c r="D19" s="87"/>
      <c r="E19" s="88"/>
      <c r="F19" s="89"/>
      <c r="G19" s="90"/>
      <c r="H19" s="90"/>
      <c r="I19" s="464"/>
      <c r="J19" s="465"/>
      <c r="K19" s="465"/>
      <c r="L19" s="465"/>
      <c r="M19" s="465"/>
      <c r="N19" s="465"/>
      <c r="O19" s="465"/>
      <c r="P19" s="465"/>
      <c r="Q19" s="465"/>
      <c r="R19" s="465"/>
      <c r="S19" s="465"/>
      <c r="T19" s="465"/>
      <c r="U19" s="465"/>
      <c r="V19" s="465"/>
      <c r="W19" s="466"/>
      <c r="Y19" s="296"/>
      <c r="Z19" s="294"/>
      <c r="AA19" s="288" t="s">
        <v>311</v>
      </c>
    </row>
    <row r="20" spans="1:27" ht="16">
      <c r="A20" s="125" t="s">
        <v>33</v>
      </c>
      <c r="B20" s="85"/>
      <c r="C20" s="86"/>
      <c r="D20" s="138">
        <f t="shared" ref="D20:E20" si="1">SUM(D15:D19)</f>
        <v>350</v>
      </c>
      <c r="E20" s="139">
        <f t="shared" si="1"/>
        <v>0</v>
      </c>
      <c r="F20" s="89"/>
      <c r="G20" s="90"/>
      <c r="H20" s="90"/>
      <c r="I20" s="464"/>
      <c r="J20" s="465"/>
      <c r="K20" s="465"/>
      <c r="L20" s="465"/>
      <c r="M20" s="465"/>
      <c r="N20" s="465"/>
      <c r="O20" s="465"/>
      <c r="P20" s="465"/>
      <c r="Q20" s="465"/>
      <c r="R20" s="465"/>
      <c r="S20" s="465"/>
      <c r="T20" s="465"/>
      <c r="U20" s="465"/>
      <c r="V20" s="465"/>
      <c r="W20" s="466"/>
      <c r="Y20" s="296"/>
      <c r="Z20" s="294"/>
      <c r="AA20" s="299" t="s">
        <v>494</v>
      </c>
    </row>
    <row r="21" spans="1:27" ht="16">
      <c r="A21" s="470" t="s">
        <v>20</v>
      </c>
      <c r="B21" s="468"/>
      <c r="C21" s="468"/>
      <c r="D21" s="468"/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9"/>
      <c r="Y21" s="296"/>
      <c r="Z21" s="294"/>
      <c r="AA21" s="300" t="s">
        <v>495</v>
      </c>
    </row>
    <row r="22" spans="1:27" ht="16">
      <c r="A22" s="282" t="s">
        <v>552</v>
      </c>
      <c r="B22" s="92" t="s">
        <v>311</v>
      </c>
      <c r="C22" s="86"/>
      <c r="D22" s="141">
        <f>85*30</f>
        <v>2550</v>
      </c>
      <c r="E22" s="88"/>
      <c r="F22" s="89" t="s">
        <v>592</v>
      </c>
      <c r="G22" s="90"/>
      <c r="H22" s="90"/>
      <c r="I22" s="464"/>
      <c r="J22" s="465"/>
      <c r="K22" s="465"/>
      <c r="L22" s="465"/>
      <c r="M22" s="465"/>
      <c r="N22" s="465"/>
      <c r="O22" s="465"/>
      <c r="P22" s="465"/>
      <c r="Q22" s="465"/>
      <c r="R22" s="465"/>
      <c r="S22" s="465"/>
      <c r="T22" s="465"/>
      <c r="U22" s="465"/>
      <c r="V22" s="465"/>
      <c r="W22" s="466"/>
      <c r="Y22" s="296"/>
      <c r="Z22" s="293"/>
      <c r="AA22" s="300" t="s">
        <v>497</v>
      </c>
    </row>
    <row r="23" spans="1:27" ht="16">
      <c r="A23" s="120" t="s">
        <v>490</v>
      </c>
      <c r="B23" s="92" t="s">
        <v>311</v>
      </c>
      <c r="C23" s="143"/>
      <c r="D23" s="142">
        <f>158*2</f>
        <v>316</v>
      </c>
      <c r="E23" s="140"/>
      <c r="F23" s="89"/>
      <c r="G23" s="90"/>
      <c r="H23" s="90"/>
      <c r="I23" s="464"/>
      <c r="J23" s="465"/>
      <c r="K23" s="465"/>
      <c r="L23" s="465"/>
      <c r="M23" s="465"/>
      <c r="N23" s="465"/>
      <c r="O23" s="465"/>
      <c r="P23" s="465"/>
      <c r="Q23" s="465"/>
      <c r="R23" s="465"/>
      <c r="S23" s="465"/>
      <c r="T23" s="465"/>
      <c r="U23" s="465"/>
      <c r="V23" s="465"/>
      <c r="W23" s="466"/>
      <c r="Y23" s="296"/>
      <c r="Z23" s="285" t="s">
        <v>51</v>
      </c>
      <c r="AA23" s="300" t="s">
        <v>496</v>
      </c>
    </row>
    <row r="24" spans="1:27" ht="16">
      <c r="A24" s="121" t="s">
        <v>594</v>
      </c>
      <c r="B24" s="92" t="s">
        <v>311</v>
      </c>
      <c r="C24" s="145"/>
      <c r="D24" s="146">
        <f>650</f>
        <v>650</v>
      </c>
      <c r="E24" s="140"/>
      <c r="F24" s="89"/>
      <c r="G24" s="90"/>
      <c r="H24" s="90"/>
      <c r="I24" s="464"/>
      <c r="J24" s="465"/>
      <c r="K24" s="465"/>
      <c r="L24" s="465"/>
      <c r="M24" s="465"/>
      <c r="N24" s="465"/>
      <c r="O24" s="465"/>
      <c r="P24" s="465"/>
      <c r="Q24" s="465"/>
      <c r="R24" s="465"/>
      <c r="S24" s="465"/>
      <c r="T24" s="465"/>
      <c r="U24" s="465"/>
      <c r="V24" s="465"/>
      <c r="W24" s="466"/>
      <c r="Y24" s="296"/>
      <c r="Z24" s="289" t="s">
        <v>61</v>
      </c>
      <c r="AA24" s="295">
        <v>46235</v>
      </c>
    </row>
    <row r="25" spans="1:27" ht="17" thickBot="1">
      <c r="A25" s="374" t="s">
        <v>596</v>
      </c>
      <c r="B25" s="92" t="s">
        <v>311</v>
      </c>
      <c r="C25" s="145"/>
      <c r="D25" s="375">
        <f>350</f>
        <v>350</v>
      </c>
      <c r="E25" s="140"/>
      <c r="F25" s="89"/>
      <c r="G25" s="90"/>
      <c r="H25" s="90"/>
      <c r="I25" s="319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1"/>
      <c r="Y25" s="296"/>
      <c r="Z25" s="376"/>
      <c r="AA25" s="301"/>
    </row>
    <row r="26" spans="1:27" ht="17" thickBot="1">
      <c r="A26" s="122" t="s">
        <v>595</v>
      </c>
      <c r="B26" s="92" t="s">
        <v>311</v>
      </c>
      <c r="C26" s="145"/>
      <c r="D26" s="144">
        <f>1760*4</f>
        <v>7040</v>
      </c>
      <c r="E26" s="140"/>
      <c r="F26" s="89"/>
      <c r="G26" s="90"/>
      <c r="H26" s="90"/>
      <c r="I26" s="464"/>
      <c r="J26" s="465"/>
      <c r="K26" s="465"/>
      <c r="L26" s="465"/>
      <c r="M26" s="465"/>
      <c r="N26" s="465"/>
      <c r="O26" s="465"/>
      <c r="P26" s="465"/>
      <c r="Q26" s="465"/>
      <c r="R26" s="465"/>
      <c r="S26" s="465"/>
      <c r="T26" s="465"/>
      <c r="U26" s="465"/>
      <c r="V26" s="465"/>
      <c r="W26" s="466"/>
      <c r="Y26" s="297"/>
      <c r="Z26" s="290" t="s">
        <v>42</v>
      </c>
      <c r="AA26" s="301">
        <v>46245</v>
      </c>
    </row>
    <row r="27" spans="1:27" ht="17" thickBot="1">
      <c r="A27" s="120"/>
      <c r="B27" s="85"/>
      <c r="C27" s="86"/>
      <c r="D27" s="136"/>
      <c r="E27" s="88"/>
      <c r="F27" s="89"/>
      <c r="G27" s="90"/>
      <c r="H27" s="90"/>
      <c r="I27" s="464"/>
      <c r="J27" s="465"/>
      <c r="K27" s="465"/>
      <c r="L27" s="465"/>
      <c r="M27" s="465"/>
      <c r="N27" s="465"/>
      <c r="O27" s="465"/>
      <c r="P27" s="465"/>
      <c r="Q27" s="465"/>
      <c r="R27" s="465"/>
      <c r="S27" s="465"/>
      <c r="T27" s="465"/>
      <c r="U27" s="465"/>
      <c r="V27" s="465"/>
      <c r="W27" s="466"/>
      <c r="AA27" s="291" t="s">
        <v>500</v>
      </c>
    </row>
    <row r="28" spans="1:27" ht="17" thickBot="1">
      <c r="A28" s="126" t="s">
        <v>33</v>
      </c>
      <c r="B28" s="85"/>
      <c r="C28" s="86"/>
      <c r="D28" s="138">
        <f t="shared" ref="D28:E28" si="2">SUM(D22:D27)</f>
        <v>10906</v>
      </c>
      <c r="E28" s="139">
        <f t="shared" si="2"/>
        <v>0</v>
      </c>
      <c r="F28" s="89"/>
      <c r="G28" s="90"/>
      <c r="H28" s="90"/>
      <c r="I28" s="464"/>
      <c r="J28" s="465"/>
      <c r="K28" s="465"/>
      <c r="L28" s="465"/>
      <c r="M28" s="465"/>
      <c r="N28" s="465"/>
      <c r="O28" s="465"/>
      <c r="P28" s="465"/>
      <c r="Q28" s="465"/>
      <c r="R28" s="465"/>
      <c r="S28" s="465"/>
      <c r="T28" s="465"/>
      <c r="U28" s="465"/>
      <c r="V28" s="465"/>
      <c r="W28" s="466"/>
      <c r="Y28" s="302" t="s">
        <v>506</v>
      </c>
      <c r="Z28" s="286" t="s">
        <v>502</v>
      </c>
    </row>
    <row r="29" spans="1:27" ht="17" thickBot="1">
      <c r="A29" s="467" t="s">
        <v>328</v>
      </c>
      <c r="B29" s="468"/>
      <c r="C29" s="468"/>
      <c r="D29" s="468"/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9"/>
      <c r="Y29" s="296"/>
      <c r="Z29" s="283" t="s">
        <v>492</v>
      </c>
      <c r="AA29" s="287" t="s">
        <v>501</v>
      </c>
    </row>
    <row r="30" spans="1:27" ht="17" thickBot="1">
      <c r="A30" s="282" t="s">
        <v>615</v>
      </c>
      <c r="B30" s="92"/>
      <c r="C30" s="86"/>
      <c r="D30" s="87"/>
      <c r="E30" s="88"/>
      <c r="F30" s="89"/>
      <c r="G30" s="90"/>
      <c r="H30" s="90"/>
      <c r="I30" s="90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Y30" s="296"/>
      <c r="Z30" s="294"/>
      <c r="AA30" s="288" t="s">
        <v>52</v>
      </c>
    </row>
    <row r="31" spans="1:27" ht="16">
      <c r="A31" s="120" t="s">
        <v>273</v>
      </c>
      <c r="B31" s="92"/>
      <c r="C31" s="86"/>
      <c r="D31" s="87"/>
      <c r="E31" s="88"/>
      <c r="F31" s="89"/>
      <c r="G31" s="90"/>
      <c r="H31" s="90"/>
      <c r="I31" s="90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Y31" s="296"/>
      <c r="Z31" s="294"/>
      <c r="AA31" s="299" t="s">
        <v>494</v>
      </c>
    </row>
    <row r="32" spans="1:27" ht="16">
      <c r="A32" s="121" t="s">
        <v>275</v>
      </c>
      <c r="B32" s="92"/>
      <c r="C32" s="86"/>
      <c r="D32" s="87"/>
      <c r="E32" s="88"/>
      <c r="F32" s="89"/>
      <c r="G32" s="90"/>
      <c r="H32" s="90"/>
      <c r="I32" s="90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Y32" s="296"/>
      <c r="Z32" s="294"/>
      <c r="AA32" s="300" t="s">
        <v>495</v>
      </c>
    </row>
    <row r="33" spans="1:27" ht="16">
      <c r="A33" s="122"/>
      <c r="B33" s="92"/>
      <c r="C33" s="86"/>
      <c r="D33" s="87"/>
      <c r="E33" s="88"/>
      <c r="F33" s="89"/>
      <c r="G33" s="90"/>
      <c r="H33" s="90"/>
      <c r="I33" s="90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Y33" s="296"/>
      <c r="Z33" s="293"/>
      <c r="AA33" s="300" t="s">
        <v>497</v>
      </c>
    </row>
    <row r="34" spans="1:27" ht="16">
      <c r="A34" s="123"/>
      <c r="B34" s="92"/>
      <c r="C34" s="86"/>
      <c r="D34" s="87"/>
      <c r="E34" s="88"/>
      <c r="F34" s="89"/>
      <c r="G34" s="90"/>
      <c r="H34" s="90"/>
      <c r="I34" s="90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Y34" s="296"/>
      <c r="Z34" s="285" t="s">
        <v>51</v>
      </c>
      <c r="AA34" s="300" t="s">
        <v>496</v>
      </c>
    </row>
    <row r="35" spans="1:27" ht="17" thickBot="1">
      <c r="A35" s="125" t="s">
        <v>33</v>
      </c>
      <c r="B35" s="85"/>
      <c r="C35" s="86"/>
      <c r="D35" s="87">
        <f t="shared" ref="D35:E35" si="3">SUM(D30:D34)</f>
        <v>0</v>
      </c>
      <c r="E35" s="88">
        <f t="shared" si="3"/>
        <v>0</v>
      </c>
      <c r="F35" s="89"/>
      <c r="G35" s="90"/>
      <c r="H35" s="90"/>
      <c r="I35" s="90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Y35" s="296"/>
      <c r="Z35" s="289" t="s">
        <v>61</v>
      </c>
      <c r="AA35" s="295">
        <v>46235</v>
      </c>
    </row>
    <row r="36" spans="1:27" ht="17" thickBot="1">
      <c r="A36" s="470" t="s">
        <v>329</v>
      </c>
      <c r="B36" s="468"/>
      <c r="C36" s="468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9"/>
      <c r="Y36" s="297"/>
      <c r="Z36" s="290" t="s">
        <v>42</v>
      </c>
      <c r="AA36" s="301">
        <v>46245</v>
      </c>
    </row>
    <row r="37" spans="1:27" ht="17" thickBot="1">
      <c r="A37" s="119"/>
      <c r="B37" s="92"/>
      <c r="C37" s="86"/>
      <c r="D37" s="87"/>
      <c r="E37" s="88"/>
      <c r="F37" s="89"/>
      <c r="G37" s="90"/>
      <c r="H37" s="90"/>
      <c r="I37" s="90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AA37" s="291" t="s">
        <v>500</v>
      </c>
    </row>
    <row r="38" spans="1:27" ht="17" thickBot="1">
      <c r="A38" s="120"/>
      <c r="B38" s="92"/>
      <c r="C38" s="86"/>
      <c r="D38" s="87"/>
      <c r="E38" s="88"/>
      <c r="F38" s="89"/>
      <c r="G38" s="90"/>
      <c r="H38" s="90"/>
      <c r="I38" s="90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Y38" s="302" t="s">
        <v>506</v>
      </c>
      <c r="Z38" s="286" t="s">
        <v>502</v>
      </c>
    </row>
    <row r="39" spans="1:27" ht="17" thickBot="1">
      <c r="A39" s="121"/>
      <c r="B39" s="92"/>
      <c r="C39" s="86"/>
      <c r="D39" s="87"/>
      <c r="E39" s="88"/>
      <c r="F39" s="89"/>
      <c r="G39" s="90"/>
      <c r="H39" s="90"/>
      <c r="I39" s="90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Y39" s="296"/>
      <c r="Z39" s="283" t="s">
        <v>492</v>
      </c>
      <c r="AA39" s="287" t="s">
        <v>76</v>
      </c>
    </row>
    <row r="40" spans="1:27" ht="17" thickBot="1">
      <c r="A40" s="122"/>
      <c r="B40" s="92"/>
      <c r="C40" s="86"/>
      <c r="D40" s="87"/>
      <c r="E40" s="88"/>
      <c r="F40" s="89"/>
      <c r="G40" s="90"/>
      <c r="H40" s="90"/>
      <c r="I40" s="90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Y40" s="296"/>
      <c r="Z40" s="294"/>
      <c r="AA40" s="288" t="s">
        <v>52</v>
      </c>
    </row>
    <row r="41" spans="1:27" ht="16">
      <c r="A41" s="123"/>
      <c r="B41" s="85"/>
      <c r="C41" s="86"/>
      <c r="D41" s="87"/>
      <c r="E41" s="88"/>
      <c r="F41" s="89"/>
      <c r="G41" s="90"/>
      <c r="H41" s="90"/>
      <c r="I41" s="90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Y41" s="296"/>
      <c r="Z41" s="294"/>
      <c r="AA41" s="299" t="s">
        <v>508</v>
      </c>
    </row>
    <row r="42" spans="1:27" ht="16">
      <c r="A42" s="125" t="s">
        <v>33</v>
      </c>
      <c r="B42" s="85"/>
      <c r="C42" s="86"/>
      <c r="D42" s="87">
        <f t="shared" ref="D42:E42" si="4">SUM(D37:D41)</f>
        <v>0</v>
      </c>
      <c r="E42" s="88">
        <f t="shared" si="4"/>
        <v>0</v>
      </c>
      <c r="F42" s="89"/>
      <c r="G42" s="90"/>
      <c r="H42" s="90"/>
      <c r="I42" s="90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Y42" s="296"/>
      <c r="Z42" s="294"/>
      <c r="AA42" s="300" t="s">
        <v>509</v>
      </c>
    </row>
    <row r="43" spans="1:27" ht="16">
      <c r="A43" s="470" t="s">
        <v>21</v>
      </c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9"/>
      <c r="Y43" s="296"/>
      <c r="Z43" s="293"/>
      <c r="AA43" s="300" t="s">
        <v>510</v>
      </c>
    </row>
    <row r="44" spans="1:27" ht="85">
      <c r="A44" s="377" t="s">
        <v>609</v>
      </c>
      <c r="B44" s="92" t="s">
        <v>311</v>
      </c>
      <c r="C44" s="86"/>
      <c r="D44" s="87">
        <f>12.35*250</f>
        <v>3087.5</v>
      </c>
      <c r="E44" s="88"/>
      <c r="F44" s="89"/>
      <c r="G44" s="90"/>
      <c r="H44" s="90"/>
      <c r="I44" s="90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Y44" s="296"/>
      <c r="Z44" s="285" t="s">
        <v>51</v>
      </c>
      <c r="AA44" s="300"/>
    </row>
    <row r="45" spans="1:27" ht="17" thickBot="1">
      <c r="A45" s="383" t="s">
        <v>208</v>
      </c>
      <c r="B45" s="92" t="s">
        <v>311</v>
      </c>
      <c r="C45" s="86"/>
      <c r="D45" s="87">
        <f>60*9</f>
        <v>540</v>
      </c>
      <c r="E45" s="88"/>
      <c r="F45" s="89"/>
      <c r="G45" s="90"/>
      <c r="H45" s="90"/>
      <c r="I45" s="90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Y45" s="296"/>
      <c r="Z45" s="289" t="s">
        <v>61</v>
      </c>
      <c r="AA45" s="295">
        <v>46235</v>
      </c>
    </row>
    <row r="46" spans="1:27" ht="17" thickBot="1">
      <c r="A46" s="384" t="s">
        <v>594</v>
      </c>
      <c r="B46" s="92" t="s">
        <v>311</v>
      </c>
      <c r="C46" s="86"/>
      <c r="D46" s="87">
        <f>380</f>
        <v>380</v>
      </c>
      <c r="E46" s="88"/>
      <c r="F46" s="89"/>
      <c r="G46" s="90"/>
      <c r="H46" s="90"/>
      <c r="I46" s="90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Y46" s="297"/>
      <c r="Z46" s="290" t="s">
        <v>42</v>
      </c>
      <c r="AA46" s="301">
        <v>46245</v>
      </c>
    </row>
    <row r="47" spans="1:27" ht="17" thickBot="1">
      <c r="A47" s="385" t="s">
        <v>610</v>
      </c>
      <c r="B47" s="92" t="s">
        <v>52</v>
      </c>
      <c r="C47" s="86"/>
      <c r="D47" s="87">
        <f>(14*250)</f>
        <v>3500</v>
      </c>
      <c r="E47" s="88"/>
      <c r="F47" s="89"/>
      <c r="G47" s="90"/>
      <c r="H47" s="90"/>
      <c r="I47" s="90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Y47" s="294"/>
      <c r="Z47" s="387"/>
      <c r="AA47" s="388"/>
    </row>
    <row r="48" spans="1:27" ht="17" thickBot="1">
      <c r="A48" s="385" t="s">
        <v>594</v>
      </c>
      <c r="B48" s="92" t="s">
        <v>52</v>
      </c>
      <c r="C48" s="86"/>
      <c r="D48" s="87">
        <v>200</v>
      </c>
      <c r="E48" s="88"/>
      <c r="F48" s="89"/>
      <c r="G48" s="90"/>
      <c r="H48" s="90"/>
      <c r="I48" s="90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AA48" s="291" t="s">
        <v>500</v>
      </c>
    </row>
    <row r="49" spans="1:27" ht="16">
      <c r="A49" s="386"/>
      <c r="B49" s="85"/>
      <c r="C49" s="86"/>
      <c r="D49" s="87"/>
      <c r="E49" s="88"/>
      <c r="F49" s="89"/>
      <c r="G49" s="90"/>
      <c r="H49" s="90"/>
      <c r="I49" s="90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</row>
    <row r="50" spans="1:27" ht="16">
      <c r="A50" s="173" t="s">
        <v>33</v>
      </c>
      <c r="B50" s="85"/>
      <c r="C50" s="86"/>
      <c r="D50" s="87">
        <f t="shared" ref="D50:E50" si="5">SUM(D44:D49)</f>
        <v>7707.5</v>
      </c>
      <c r="E50" s="88">
        <f t="shared" si="5"/>
        <v>0</v>
      </c>
      <c r="F50" s="89"/>
      <c r="G50" s="90"/>
      <c r="H50" s="90"/>
      <c r="I50" s="90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</row>
    <row r="51" spans="1:27" ht="16">
      <c r="A51" s="470" t="s">
        <v>23</v>
      </c>
      <c r="B51" s="468"/>
      <c r="C51" s="468"/>
      <c r="D51" s="468"/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9"/>
    </row>
    <row r="52" spans="1:27" ht="16">
      <c r="A52" s="282" t="s">
        <v>597</v>
      </c>
      <c r="B52" s="92" t="s">
        <v>311</v>
      </c>
      <c r="C52" s="86"/>
      <c r="D52" s="87">
        <f>2*700</f>
        <v>1400</v>
      </c>
      <c r="E52" s="88"/>
      <c r="F52" s="89"/>
      <c r="G52" s="90"/>
      <c r="H52" s="90"/>
      <c r="I52" s="90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</row>
    <row r="53" spans="1:27" ht="16">
      <c r="A53" s="120" t="s">
        <v>599</v>
      </c>
      <c r="B53" s="92" t="s">
        <v>311</v>
      </c>
      <c r="C53" s="86"/>
      <c r="D53" s="87">
        <f>500</f>
        <v>500</v>
      </c>
      <c r="E53" s="88"/>
      <c r="F53" s="89"/>
      <c r="G53" s="90"/>
      <c r="H53" s="90"/>
      <c r="I53" s="90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</row>
    <row r="54" spans="1:27" ht="16">
      <c r="A54" s="121" t="s">
        <v>594</v>
      </c>
      <c r="B54" s="92" t="s">
        <v>311</v>
      </c>
      <c r="C54" s="86"/>
      <c r="D54" s="87">
        <v>800</v>
      </c>
      <c r="E54" s="88"/>
      <c r="F54" s="89"/>
      <c r="G54" s="90"/>
      <c r="H54" s="90"/>
      <c r="I54" s="90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</row>
    <row r="55" spans="1:27" ht="16">
      <c r="A55" s="122" t="s">
        <v>600</v>
      </c>
      <c r="B55" s="92" t="s">
        <v>46</v>
      </c>
      <c r="C55" s="86"/>
      <c r="D55" s="87">
        <f>3*100</f>
        <v>300</v>
      </c>
      <c r="E55" s="88"/>
      <c r="F55" s="89"/>
      <c r="G55" s="90"/>
      <c r="H55" s="90"/>
      <c r="I55" s="90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</row>
    <row r="56" spans="1:27" ht="16">
      <c r="A56" s="123"/>
      <c r="B56" s="85"/>
      <c r="C56" s="86"/>
      <c r="D56" s="87"/>
      <c r="E56" s="88"/>
      <c r="F56" s="89"/>
      <c r="G56" s="90"/>
      <c r="H56" s="90"/>
      <c r="I56" s="90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</row>
    <row r="57" spans="1:27" ht="16">
      <c r="A57" s="173" t="s">
        <v>33</v>
      </c>
      <c r="B57" s="85"/>
      <c r="C57" s="86"/>
      <c r="D57" s="87">
        <f t="shared" ref="D57:E57" si="6">SUM(D52:D56)</f>
        <v>3000</v>
      </c>
      <c r="E57" s="88">
        <f t="shared" si="6"/>
        <v>0</v>
      </c>
      <c r="F57" s="89"/>
      <c r="G57" s="90"/>
      <c r="H57" s="90"/>
      <c r="I57" s="90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</row>
    <row r="58" spans="1:27" ht="16">
      <c r="A58" s="470" t="s">
        <v>330</v>
      </c>
      <c r="B58" s="468"/>
      <c r="C58" s="468"/>
      <c r="D58" s="468"/>
      <c r="E58" s="468"/>
      <c r="F58" s="468"/>
      <c r="G58" s="468"/>
      <c r="H58" s="468"/>
      <c r="I58" s="468"/>
      <c r="J58" s="468"/>
      <c r="K58" s="468"/>
      <c r="L58" s="468"/>
      <c r="M58" s="468"/>
      <c r="N58" s="468"/>
      <c r="O58" s="468"/>
      <c r="P58" s="468"/>
      <c r="Q58" s="468"/>
      <c r="R58" s="468"/>
      <c r="S58" s="468"/>
      <c r="T58" s="468"/>
      <c r="U58" s="468"/>
      <c r="V58" s="468"/>
      <c r="W58" s="469"/>
    </row>
    <row r="59" spans="1:27" ht="16">
      <c r="A59" s="119"/>
      <c r="B59" s="92"/>
      <c r="C59" s="86"/>
      <c r="D59" s="87"/>
      <c r="E59" s="88"/>
      <c r="F59" s="89"/>
      <c r="G59" s="90"/>
      <c r="H59" s="90"/>
      <c r="I59" s="90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</row>
    <row r="60" spans="1:27" ht="16">
      <c r="A60" s="120"/>
      <c r="B60" s="92"/>
      <c r="C60" s="86"/>
      <c r="D60" s="87"/>
      <c r="E60" s="88"/>
      <c r="F60" s="89"/>
      <c r="G60" s="90"/>
      <c r="H60" s="90"/>
      <c r="I60" s="90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</row>
    <row r="61" spans="1:27" ht="16">
      <c r="A61" s="121"/>
      <c r="B61" s="92"/>
      <c r="C61" s="86"/>
      <c r="D61" s="87"/>
      <c r="E61" s="88"/>
      <c r="F61" s="89"/>
      <c r="G61" s="90"/>
      <c r="H61" s="90"/>
      <c r="I61" s="90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AA61" s="14" t="s">
        <v>574</v>
      </c>
    </row>
    <row r="62" spans="1:27" ht="16">
      <c r="A62" s="122"/>
      <c r="B62" s="92"/>
      <c r="C62" s="86"/>
      <c r="D62" s="87"/>
      <c r="E62" s="88"/>
      <c r="F62" s="89"/>
      <c r="G62" s="90"/>
      <c r="H62" s="90"/>
      <c r="I62" s="90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</row>
    <row r="63" spans="1:27" ht="16">
      <c r="A63" s="123"/>
      <c r="B63" s="92"/>
      <c r="C63" s="86"/>
      <c r="D63" s="87"/>
      <c r="E63" s="88"/>
      <c r="F63" s="89"/>
      <c r="G63" s="90"/>
      <c r="H63" s="90"/>
      <c r="I63" s="90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</row>
    <row r="64" spans="1:27" ht="16">
      <c r="A64" s="125" t="s">
        <v>33</v>
      </c>
      <c r="B64" s="85"/>
      <c r="C64" s="86"/>
      <c r="D64" s="87">
        <f t="shared" ref="D64:E64" si="7">SUM(D59:D63)</f>
        <v>0</v>
      </c>
      <c r="E64" s="88">
        <f t="shared" si="7"/>
        <v>0</v>
      </c>
      <c r="F64" s="89"/>
      <c r="G64" s="90"/>
      <c r="H64" s="90"/>
      <c r="I64" s="90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</row>
    <row r="65" spans="1:23" ht="16">
      <c r="A65" s="473" t="s">
        <v>269</v>
      </c>
      <c r="B65" s="468"/>
      <c r="C65" s="468"/>
      <c r="D65" s="468"/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9"/>
    </row>
    <row r="66" spans="1:23" ht="16">
      <c r="A66" s="120" t="s">
        <v>598</v>
      </c>
      <c r="B66" s="85" t="s">
        <v>311</v>
      </c>
      <c r="C66" s="86"/>
      <c r="D66" s="87">
        <f>50*18</f>
        <v>900</v>
      </c>
      <c r="E66" s="88"/>
      <c r="F66" s="89"/>
      <c r="G66" s="90"/>
      <c r="H66" s="90"/>
      <c r="I66" s="90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</row>
    <row r="67" spans="1:23" ht="16">
      <c r="A67" s="120" t="s">
        <v>200</v>
      </c>
      <c r="B67" s="85"/>
      <c r="C67" s="86"/>
      <c r="D67" s="87">
        <v>1200</v>
      </c>
      <c r="E67" s="88"/>
      <c r="F67" s="89"/>
      <c r="G67" s="90"/>
      <c r="H67" s="90"/>
      <c r="I67" s="90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</row>
    <row r="68" spans="1:23" ht="16">
      <c r="A68" s="121"/>
      <c r="B68" s="85"/>
      <c r="C68" s="86"/>
      <c r="D68" s="87"/>
      <c r="E68" s="88"/>
      <c r="F68" s="89"/>
      <c r="G68" s="90"/>
      <c r="H68" s="90"/>
      <c r="I68" s="90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</row>
    <row r="69" spans="1:23" ht="16">
      <c r="A69" s="122"/>
      <c r="B69" s="85"/>
      <c r="C69" s="86"/>
      <c r="D69" s="87"/>
      <c r="E69" s="88"/>
      <c r="F69" s="89"/>
      <c r="G69" s="90"/>
      <c r="H69" s="90"/>
      <c r="I69" s="90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</row>
    <row r="70" spans="1:23" ht="16">
      <c r="A70" s="123"/>
      <c r="B70" s="85"/>
      <c r="C70" s="86"/>
      <c r="D70" s="87"/>
      <c r="E70" s="88"/>
      <c r="F70" s="89"/>
      <c r="G70" s="90"/>
      <c r="H70" s="90"/>
      <c r="I70" s="90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</row>
    <row r="71" spans="1:23" ht="16">
      <c r="A71" s="127" t="s">
        <v>33</v>
      </c>
      <c r="B71" s="85"/>
      <c r="C71" s="86"/>
      <c r="D71" s="87">
        <f t="shared" ref="D71:E71" si="8">SUM(D66:D70)</f>
        <v>2100</v>
      </c>
      <c r="E71" s="88">
        <f t="shared" si="8"/>
        <v>0</v>
      </c>
      <c r="F71" s="89"/>
      <c r="G71" s="90"/>
      <c r="H71" s="90"/>
      <c r="I71" s="90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</row>
    <row r="72" spans="1:23" ht="16">
      <c r="A72" s="467" t="s">
        <v>338</v>
      </c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9"/>
    </row>
    <row r="73" spans="1:23" ht="16">
      <c r="A73" s="119"/>
      <c r="B73" s="92"/>
      <c r="C73" s="86"/>
      <c r="D73" s="87"/>
      <c r="E73" s="88"/>
      <c r="F73" s="89"/>
      <c r="G73" s="90"/>
      <c r="H73" s="90"/>
      <c r="I73" s="90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</row>
    <row r="74" spans="1:23" ht="16">
      <c r="A74" s="120"/>
      <c r="B74" s="85"/>
      <c r="C74" s="86"/>
      <c r="D74" s="87"/>
      <c r="E74" s="88"/>
      <c r="F74" s="89"/>
      <c r="G74" s="90"/>
      <c r="H74" s="90"/>
      <c r="I74" s="90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</row>
    <row r="75" spans="1:23" ht="16">
      <c r="A75" s="121"/>
      <c r="B75" s="85"/>
      <c r="C75" s="86"/>
      <c r="D75" s="87"/>
      <c r="E75" s="88"/>
      <c r="F75" s="89"/>
      <c r="G75" s="90"/>
      <c r="H75" s="90"/>
      <c r="I75" s="90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</row>
    <row r="76" spans="1:23" ht="16">
      <c r="A76" s="122"/>
      <c r="B76" s="92"/>
      <c r="C76" s="86"/>
      <c r="D76" s="87"/>
      <c r="E76" s="88"/>
      <c r="F76" s="89"/>
      <c r="G76" s="90"/>
      <c r="H76" s="90"/>
      <c r="I76" s="90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</row>
    <row r="77" spans="1:23" ht="16">
      <c r="A77" s="123"/>
      <c r="B77" s="85"/>
      <c r="C77" s="86"/>
      <c r="D77" s="87"/>
      <c r="E77" s="88"/>
      <c r="F77" s="89"/>
      <c r="G77" s="90"/>
      <c r="H77" s="90"/>
      <c r="I77" s="90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</row>
    <row r="78" spans="1:23" ht="16">
      <c r="A78" s="128" t="s">
        <v>33</v>
      </c>
      <c r="B78" s="129"/>
      <c r="C78" s="86"/>
      <c r="D78" s="87">
        <f t="shared" ref="D78:E78" si="9">SUM(D73:D77)</f>
        <v>0</v>
      </c>
      <c r="E78" s="88">
        <f t="shared" si="9"/>
        <v>0</v>
      </c>
      <c r="F78" s="89"/>
      <c r="G78" s="90"/>
      <c r="H78" s="90"/>
      <c r="I78" s="90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</row>
    <row r="79" spans="1:23" ht="16">
      <c r="A79" s="470" t="s">
        <v>337</v>
      </c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9"/>
    </row>
    <row r="80" spans="1:23" ht="16">
      <c r="A80" s="119"/>
      <c r="B80" s="92"/>
      <c r="C80" s="86"/>
      <c r="D80" s="87"/>
      <c r="E80" s="88"/>
      <c r="F80" s="89"/>
      <c r="G80" s="90"/>
      <c r="H80" s="90"/>
      <c r="I80" s="90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 spans="1:23" ht="16">
      <c r="A81" s="120"/>
      <c r="B81" s="92"/>
      <c r="C81" s="86"/>
      <c r="D81" s="87"/>
      <c r="E81" s="88"/>
      <c r="F81" s="89"/>
      <c r="G81" s="90"/>
      <c r="H81" s="90"/>
      <c r="I81" s="90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 spans="1:23" ht="16">
      <c r="A82" s="121"/>
      <c r="B82" s="92"/>
      <c r="C82" s="86"/>
      <c r="D82" s="87"/>
      <c r="E82" s="88"/>
      <c r="F82" s="89"/>
      <c r="G82" s="90"/>
      <c r="H82" s="90"/>
      <c r="I82" s="90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3" spans="1:23" ht="16">
      <c r="A83" s="122"/>
      <c r="B83" s="92"/>
      <c r="C83" s="86"/>
      <c r="D83" s="87"/>
      <c r="E83" s="88"/>
      <c r="F83" s="89"/>
      <c r="G83" s="90"/>
      <c r="H83" s="90"/>
      <c r="I83" s="90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</row>
    <row r="84" spans="1:23" ht="16">
      <c r="A84" s="123"/>
      <c r="B84" s="85"/>
      <c r="C84" s="86"/>
      <c r="D84" s="87"/>
      <c r="E84" s="88"/>
      <c r="F84" s="89"/>
      <c r="G84" s="90"/>
      <c r="H84" s="90"/>
      <c r="I84" s="90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</row>
    <row r="85" spans="1:23" ht="16">
      <c r="A85" s="173" t="s">
        <v>33</v>
      </c>
      <c r="B85" s="85"/>
      <c r="C85" s="86"/>
      <c r="D85" s="87">
        <f t="shared" ref="D85:E85" si="10">SUM(D80:D84)</f>
        <v>0</v>
      </c>
      <c r="E85" s="88">
        <f t="shared" si="10"/>
        <v>0</v>
      </c>
      <c r="F85" s="89"/>
      <c r="G85" s="90"/>
      <c r="H85" s="90"/>
      <c r="I85" s="90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</row>
    <row r="86" spans="1:23" ht="16">
      <c r="A86" s="470" t="s">
        <v>35</v>
      </c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9"/>
    </row>
    <row r="87" spans="1:23" ht="16">
      <c r="A87" s="282" t="s">
        <v>220</v>
      </c>
      <c r="B87" s="92"/>
      <c r="C87" s="86" t="s">
        <v>311</v>
      </c>
      <c r="D87" s="87">
        <v>200</v>
      </c>
      <c r="E87" s="88"/>
      <c r="F87" s="89"/>
      <c r="G87" s="90"/>
      <c r="H87" s="90"/>
      <c r="I87" s="90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</row>
    <row r="88" spans="1:23" ht="16">
      <c r="A88" s="120"/>
      <c r="B88" s="92"/>
      <c r="C88" s="86"/>
      <c r="D88" s="87"/>
      <c r="E88" s="88"/>
      <c r="F88" s="89"/>
      <c r="G88" s="90"/>
      <c r="H88" s="90"/>
      <c r="I88" s="90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</row>
    <row r="89" spans="1:23" ht="16">
      <c r="A89" s="121"/>
      <c r="B89" s="92"/>
      <c r="C89" s="86"/>
      <c r="D89" s="87"/>
      <c r="E89" s="88"/>
      <c r="F89" s="89"/>
      <c r="G89" s="90"/>
      <c r="H89" s="90"/>
      <c r="I89" s="90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</row>
    <row r="90" spans="1:23" ht="16">
      <c r="A90" s="122"/>
      <c r="B90" s="92"/>
      <c r="C90" s="86"/>
      <c r="D90" s="87"/>
      <c r="E90" s="88"/>
      <c r="F90" s="89"/>
      <c r="G90" s="90"/>
      <c r="H90" s="90"/>
      <c r="I90" s="90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</row>
    <row r="91" spans="1:23" ht="16">
      <c r="A91" s="123"/>
      <c r="B91" s="131"/>
      <c r="C91" s="86"/>
      <c r="D91" s="87"/>
      <c r="E91" s="88"/>
      <c r="F91" s="89"/>
      <c r="G91" s="90"/>
      <c r="H91" s="90"/>
      <c r="I91" s="90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</row>
    <row r="92" spans="1:23" ht="16">
      <c r="A92" s="127" t="s">
        <v>33</v>
      </c>
      <c r="B92" s="132"/>
      <c r="C92" s="130"/>
      <c r="D92" s="87">
        <f t="shared" ref="D92:E92" si="11">SUM(D87:D91)</f>
        <v>200</v>
      </c>
      <c r="E92" s="88">
        <f t="shared" si="11"/>
        <v>0</v>
      </c>
      <c r="F92" s="89"/>
      <c r="G92" s="90"/>
      <c r="H92" s="90"/>
      <c r="I92" s="90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</row>
    <row r="93" spans="1:23" ht="16">
      <c r="A93" s="471" t="s">
        <v>36</v>
      </c>
      <c r="B93" s="472"/>
      <c r="C93" s="472"/>
      <c r="D93" s="124">
        <f t="shared" ref="D93:E93" si="12">SUM(D92,D85,D78,D71,D64,D57,D50,D42,D35,D28,D20,D13)</f>
        <v>34433.5</v>
      </c>
      <c r="E93" s="124">
        <f t="shared" si="12"/>
        <v>0</v>
      </c>
      <c r="F93" s="94"/>
      <c r="G93" s="94"/>
      <c r="H93" s="94"/>
      <c r="I93" s="94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</row>
    <row r="94" spans="1:23" ht="13" hidden="1">
      <c r="D94" s="12"/>
      <c r="E94" s="13"/>
      <c r="F94" s="14"/>
    </row>
    <row r="95" spans="1:23" ht="13" hidden="1">
      <c r="D95" s="12"/>
      <c r="E95" s="13"/>
      <c r="F95" s="14"/>
    </row>
    <row r="96" spans="1:23" ht="13" hidden="1">
      <c r="D96" s="12"/>
      <c r="E96" s="13"/>
      <c r="F96" s="14"/>
    </row>
    <row r="97" spans="4:6" ht="13" hidden="1">
      <c r="D97" s="12"/>
      <c r="E97" s="13"/>
      <c r="F97" s="14"/>
    </row>
    <row r="98" spans="4:6" ht="13" hidden="1">
      <c r="D98" s="12"/>
      <c r="E98" s="13"/>
      <c r="F98" s="14"/>
    </row>
    <row r="99" spans="4:6" ht="13" hidden="1">
      <c r="D99" s="12"/>
      <c r="E99" s="13"/>
      <c r="F99" s="14"/>
    </row>
    <row r="100" spans="4:6" ht="13" hidden="1">
      <c r="D100" s="12"/>
      <c r="E100" s="13"/>
      <c r="F100" s="14"/>
    </row>
    <row r="101" spans="4:6" ht="13" hidden="1">
      <c r="D101" s="12"/>
      <c r="E101" s="13"/>
      <c r="F101" s="14"/>
    </row>
    <row r="102" spans="4:6" ht="13" hidden="1">
      <c r="D102" s="12"/>
      <c r="E102" s="13"/>
      <c r="F102" s="14"/>
    </row>
    <row r="103" spans="4:6" ht="13" hidden="1">
      <c r="D103" s="12"/>
      <c r="E103" s="13"/>
      <c r="F103" s="14"/>
    </row>
    <row r="104" spans="4:6" ht="13" hidden="1">
      <c r="D104" s="12"/>
      <c r="E104" s="13"/>
      <c r="F104" s="14"/>
    </row>
    <row r="105" spans="4:6" ht="13" hidden="1">
      <c r="D105" s="12"/>
      <c r="E105" s="13"/>
      <c r="F105" s="14"/>
    </row>
    <row r="106" spans="4:6" ht="13" hidden="1">
      <c r="D106" s="12"/>
      <c r="E106" s="13"/>
      <c r="F106" s="14"/>
    </row>
    <row r="107" spans="4:6" ht="13" hidden="1">
      <c r="D107" s="12"/>
      <c r="E107" s="13"/>
      <c r="F107" s="14"/>
    </row>
    <row r="108" spans="4:6" ht="13" hidden="1">
      <c r="D108" s="12"/>
      <c r="E108" s="13"/>
      <c r="F108" s="14"/>
    </row>
    <row r="109" spans="4:6" ht="13" hidden="1">
      <c r="D109" s="12"/>
      <c r="E109" s="13"/>
      <c r="F109" s="14"/>
    </row>
    <row r="110" spans="4:6" ht="13" hidden="1">
      <c r="D110" s="12"/>
      <c r="E110" s="13"/>
      <c r="F110" s="14"/>
    </row>
    <row r="111" spans="4:6" ht="13" hidden="1">
      <c r="D111" s="12"/>
      <c r="E111" s="13"/>
      <c r="F111" s="14"/>
    </row>
    <row r="112" spans="4:6" ht="13" hidden="1">
      <c r="D112" s="12"/>
      <c r="E112" s="13"/>
      <c r="F112" s="14"/>
    </row>
    <row r="113" spans="4:6" ht="13" hidden="1">
      <c r="D113" s="12"/>
      <c r="E113" s="13"/>
      <c r="F113" s="14"/>
    </row>
    <row r="114" spans="4:6" ht="13" hidden="1">
      <c r="D114" s="12"/>
      <c r="E114" s="13"/>
      <c r="F114" s="14"/>
    </row>
    <row r="115" spans="4:6" ht="13" hidden="1">
      <c r="D115" s="12"/>
      <c r="E115" s="13"/>
      <c r="F115" s="14"/>
    </row>
    <row r="116" spans="4:6" ht="13" hidden="1">
      <c r="D116" s="12"/>
      <c r="E116" s="13"/>
      <c r="F116" s="14"/>
    </row>
    <row r="117" spans="4:6" ht="13" hidden="1">
      <c r="D117" s="12"/>
      <c r="E117" s="13"/>
      <c r="F117" s="14"/>
    </row>
    <row r="118" spans="4:6" ht="13" hidden="1">
      <c r="D118" s="12"/>
      <c r="E118" s="13"/>
      <c r="F118" s="14"/>
    </row>
    <row r="119" spans="4:6" ht="13" hidden="1">
      <c r="D119" s="12"/>
      <c r="E119" s="13"/>
      <c r="F119" s="14"/>
    </row>
    <row r="120" spans="4:6" ht="13" hidden="1">
      <c r="D120" s="12"/>
      <c r="E120" s="13"/>
      <c r="F120" s="14"/>
    </row>
    <row r="121" spans="4:6" ht="13" hidden="1">
      <c r="D121" s="12"/>
      <c r="E121" s="13"/>
      <c r="F121" s="14"/>
    </row>
    <row r="122" spans="4:6" ht="13" hidden="1">
      <c r="D122" s="12"/>
      <c r="E122" s="13"/>
      <c r="F122" s="14"/>
    </row>
    <row r="123" spans="4:6" ht="13" hidden="1">
      <c r="D123" s="12"/>
      <c r="E123" s="13"/>
      <c r="F123" s="14"/>
    </row>
    <row r="124" spans="4:6" ht="13" hidden="1">
      <c r="D124" s="12"/>
      <c r="E124" s="13"/>
      <c r="F124" s="14"/>
    </row>
    <row r="125" spans="4:6" ht="13" hidden="1">
      <c r="D125" s="12"/>
      <c r="E125" s="13"/>
      <c r="F125" s="14"/>
    </row>
    <row r="126" spans="4:6" ht="13" hidden="1">
      <c r="D126" s="12"/>
      <c r="E126" s="13"/>
      <c r="F126" s="14"/>
    </row>
    <row r="127" spans="4:6" ht="13" hidden="1">
      <c r="D127" s="12"/>
      <c r="E127" s="13"/>
      <c r="F127" s="14"/>
    </row>
    <row r="128" spans="4:6" ht="13" hidden="1">
      <c r="D128" s="12"/>
      <c r="E128" s="13"/>
      <c r="F128" s="14"/>
    </row>
    <row r="129" spans="4:6" ht="13" hidden="1">
      <c r="D129" s="12"/>
      <c r="E129" s="13"/>
      <c r="F129" s="14"/>
    </row>
    <row r="130" spans="4:6" ht="13" hidden="1">
      <c r="D130" s="12"/>
      <c r="E130" s="13"/>
      <c r="F130" s="14"/>
    </row>
    <row r="131" spans="4:6" ht="13" hidden="1">
      <c r="D131" s="12"/>
      <c r="E131" s="13"/>
      <c r="F131" s="14"/>
    </row>
    <row r="132" spans="4:6" ht="13" hidden="1">
      <c r="D132" s="12"/>
      <c r="E132" s="13"/>
      <c r="F132" s="14"/>
    </row>
    <row r="133" spans="4:6" ht="13" hidden="1">
      <c r="D133" s="12"/>
      <c r="E133" s="13"/>
      <c r="F133" s="14"/>
    </row>
    <row r="134" spans="4:6" ht="13" hidden="1">
      <c r="D134" s="12"/>
      <c r="E134" s="13"/>
      <c r="F134" s="14"/>
    </row>
    <row r="135" spans="4:6" ht="13" hidden="1">
      <c r="D135" s="12"/>
      <c r="E135" s="13"/>
      <c r="F135" s="14"/>
    </row>
    <row r="136" spans="4:6" ht="13" hidden="1">
      <c r="D136" s="12"/>
      <c r="E136" s="13"/>
      <c r="F136" s="14"/>
    </row>
    <row r="137" spans="4:6" ht="13" hidden="1">
      <c r="D137" s="12"/>
      <c r="E137" s="13"/>
      <c r="F137" s="14"/>
    </row>
    <row r="138" spans="4:6" ht="13" hidden="1">
      <c r="D138" s="12"/>
      <c r="E138" s="13"/>
      <c r="F138" s="14"/>
    </row>
    <row r="139" spans="4:6" ht="13" hidden="1">
      <c r="D139" s="12"/>
      <c r="E139" s="13"/>
      <c r="F139" s="14"/>
    </row>
    <row r="140" spans="4:6" ht="13" hidden="1">
      <c r="D140" s="12"/>
      <c r="E140" s="13"/>
      <c r="F140" s="14"/>
    </row>
    <row r="141" spans="4:6" ht="13" hidden="1">
      <c r="D141" s="12"/>
      <c r="E141" s="13"/>
      <c r="F141" s="14"/>
    </row>
    <row r="142" spans="4:6" ht="13" hidden="1">
      <c r="D142" s="12"/>
      <c r="E142" s="13"/>
      <c r="F142" s="14"/>
    </row>
    <row r="143" spans="4:6" ht="13" hidden="1">
      <c r="D143" s="12"/>
      <c r="E143" s="13"/>
      <c r="F143" s="14"/>
    </row>
    <row r="144" spans="4:6" ht="13" hidden="1">
      <c r="D144" s="12"/>
      <c r="E144" s="13"/>
      <c r="F144" s="14"/>
    </row>
    <row r="145" spans="4:6" ht="13" hidden="1">
      <c r="D145" s="12"/>
      <c r="E145" s="13"/>
      <c r="F145" s="14"/>
    </row>
    <row r="146" spans="4:6" ht="13" hidden="1">
      <c r="D146" s="12"/>
      <c r="E146" s="13"/>
      <c r="F146" s="14"/>
    </row>
    <row r="147" spans="4:6" ht="13" hidden="1">
      <c r="D147" s="12"/>
      <c r="E147" s="13"/>
      <c r="F147" s="14"/>
    </row>
    <row r="148" spans="4:6" ht="13" hidden="1">
      <c r="D148" s="12"/>
      <c r="E148" s="13"/>
      <c r="F148" s="14"/>
    </row>
    <row r="149" spans="4:6" ht="13" hidden="1">
      <c r="D149" s="12"/>
      <c r="E149" s="13"/>
      <c r="F149" s="14"/>
    </row>
    <row r="150" spans="4:6" ht="13" hidden="1">
      <c r="D150" s="12"/>
      <c r="E150" s="13"/>
      <c r="F150" s="14"/>
    </row>
    <row r="151" spans="4:6" ht="13" hidden="1">
      <c r="D151" s="12"/>
      <c r="E151" s="13"/>
      <c r="F151" s="14"/>
    </row>
    <row r="152" spans="4:6" ht="13" hidden="1">
      <c r="D152" s="12"/>
      <c r="E152" s="13"/>
      <c r="F152" s="14"/>
    </row>
    <row r="153" spans="4:6" ht="13" hidden="1">
      <c r="D153" s="12"/>
      <c r="E153" s="13"/>
      <c r="F153" s="14"/>
    </row>
    <row r="154" spans="4:6" ht="13" hidden="1">
      <c r="D154" s="12"/>
      <c r="E154" s="13"/>
      <c r="F154" s="14"/>
    </row>
    <row r="155" spans="4:6" ht="13" hidden="1">
      <c r="D155" s="12"/>
      <c r="E155" s="13"/>
      <c r="F155" s="14"/>
    </row>
    <row r="156" spans="4:6" ht="13" hidden="1">
      <c r="D156" s="12"/>
      <c r="E156" s="13"/>
      <c r="F156" s="14"/>
    </row>
    <row r="157" spans="4:6" ht="13" hidden="1">
      <c r="D157" s="12"/>
      <c r="E157" s="13"/>
      <c r="F157" s="14"/>
    </row>
    <row r="158" spans="4:6" ht="13" hidden="1">
      <c r="D158" s="12"/>
      <c r="E158" s="13"/>
      <c r="F158" s="14"/>
    </row>
    <row r="159" spans="4:6" ht="13" hidden="1">
      <c r="D159" s="12"/>
      <c r="E159" s="13"/>
      <c r="F159" s="14"/>
    </row>
    <row r="160" spans="4:6" ht="13" hidden="1">
      <c r="D160" s="12"/>
      <c r="E160" s="13"/>
      <c r="F160" s="14"/>
    </row>
    <row r="161" spans="4:6" ht="13" hidden="1">
      <c r="D161" s="12"/>
      <c r="E161" s="13"/>
      <c r="F161" s="14"/>
    </row>
    <row r="162" spans="4:6" ht="13" hidden="1">
      <c r="D162" s="12"/>
      <c r="E162" s="13"/>
      <c r="F162" s="14"/>
    </row>
    <row r="163" spans="4:6" ht="13" hidden="1">
      <c r="D163" s="12"/>
      <c r="E163" s="13"/>
      <c r="F163" s="14"/>
    </row>
    <row r="164" spans="4:6" ht="13" hidden="1">
      <c r="D164" s="12"/>
      <c r="E164" s="13"/>
      <c r="F164" s="14"/>
    </row>
    <row r="165" spans="4:6" ht="13" hidden="1">
      <c r="D165" s="12"/>
      <c r="E165" s="13"/>
      <c r="F165" s="14"/>
    </row>
    <row r="166" spans="4:6" ht="13" hidden="1">
      <c r="D166" s="12"/>
      <c r="E166" s="13"/>
      <c r="F166" s="14"/>
    </row>
    <row r="167" spans="4:6" ht="13" hidden="1">
      <c r="D167" s="12"/>
      <c r="E167" s="13"/>
      <c r="F167" s="14"/>
    </row>
    <row r="168" spans="4:6" ht="13" hidden="1">
      <c r="D168" s="12"/>
      <c r="E168" s="13"/>
      <c r="F168" s="14"/>
    </row>
    <row r="169" spans="4:6" ht="13" hidden="1">
      <c r="D169" s="12"/>
      <c r="E169" s="13"/>
      <c r="F169" s="14"/>
    </row>
    <row r="170" spans="4:6" ht="13" hidden="1">
      <c r="D170" s="12"/>
      <c r="E170" s="13"/>
      <c r="F170" s="14"/>
    </row>
    <row r="171" spans="4:6" ht="13" hidden="1">
      <c r="D171" s="12"/>
      <c r="E171" s="13"/>
      <c r="F171" s="14"/>
    </row>
    <row r="172" spans="4:6" ht="13" hidden="1">
      <c r="D172" s="12"/>
      <c r="E172" s="13"/>
      <c r="F172" s="14"/>
    </row>
    <row r="173" spans="4:6" ht="13" hidden="1">
      <c r="D173" s="12"/>
      <c r="E173" s="13"/>
      <c r="F173" s="14"/>
    </row>
    <row r="174" spans="4:6" ht="13" hidden="1">
      <c r="D174" s="12"/>
      <c r="E174" s="13"/>
      <c r="F174" s="14"/>
    </row>
    <row r="175" spans="4:6" ht="13" hidden="1">
      <c r="D175" s="12"/>
      <c r="E175" s="13"/>
      <c r="F175" s="14"/>
    </row>
    <row r="176" spans="4:6" ht="13" hidden="1">
      <c r="D176" s="12"/>
      <c r="E176" s="13"/>
      <c r="F176" s="14"/>
    </row>
    <row r="177" spans="4:6" ht="13" hidden="1">
      <c r="D177" s="12"/>
      <c r="E177" s="13"/>
      <c r="F177" s="14"/>
    </row>
    <row r="178" spans="4:6" ht="13" hidden="1">
      <c r="D178" s="12"/>
      <c r="E178" s="13"/>
      <c r="F178" s="14"/>
    </row>
    <row r="179" spans="4:6" ht="13" hidden="1">
      <c r="D179" s="12"/>
      <c r="E179" s="13"/>
      <c r="F179" s="14"/>
    </row>
    <row r="180" spans="4:6" ht="13" hidden="1">
      <c r="D180" s="12"/>
      <c r="E180" s="13"/>
      <c r="F180" s="14"/>
    </row>
    <row r="181" spans="4:6" ht="13" hidden="1">
      <c r="D181" s="12"/>
      <c r="E181" s="13"/>
      <c r="F181" s="14"/>
    </row>
    <row r="182" spans="4:6" ht="13" hidden="1">
      <c r="D182" s="12"/>
      <c r="E182" s="13"/>
      <c r="F182" s="14"/>
    </row>
    <row r="183" spans="4:6" ht="13" hidden="1">
      <c r="D183" s="12"/>
      <c r="E183" s="13"/>
      <c r="F183" s="14"/>
    </row>
    <row r="184" spans="4:6" ht="13" hidden="1">
      <c r="D184" s="12"/>
      <c r="E184" s="13"/>
      <c r="F184" s="14"/>
    </row>
    <row r="185" spans="4:6" ht="13" hidden="1">
      <c r="D185" s="12"/>
      <c r="E185" s="13"/>
      <c r="F185" s="14"/>
    </row>
    <row r="186" spans="4:6" ht="13" hidden="1">
      <c r="D186" s="12"/>
      <c r="E186" s="13"/>
      <c r="F186" s="14"/>
    </row>
    <row r="187" spans="4:6" ht="13" hidden="1">
      <c r="D187" s="12"/>
      <c r="E187" s="13"/>
      <c r="F187" s="14"/>
    </row>
    <row r="188" spans="4:6" ht="13" hidden="1">
      <c r="D188" s="12"/>
      <c r="E188" s="13"/>
      <c r="F188" s="14"/>
    </row>
    <row r="189" spans="4:6" ht="13" hidden="1">
      <c r="D189" s="12"/>
      <c r="E189" s="13"/>
      <c r="F189" s="14"/>
    </row>
    <row r="190" spans="4:6" ht="13" hidden="1">
      <c r="D190" s="12"/>
      <c r="E190" s="13"/>
      <c r="F190" s="14"/>
    </row>
    <row r="191" spans="4:6" ht="13" hidden="1">
      <c r="D191" s="12"/>
      <c r="E191" s="13"/>
      <c r="F191" s="14"/>
    </row>
    <row r="192" spans="4:6" ht="13" hidden="1">
      <c r="D192" s="12"/>
      <c r="E192" s="13"/>
      <c r="F192" s="14"/>
    </row>
    <row r="193" spans="4:6" ht="13" hidden="1">
      <c r="D193" s="12"/>
      <c r="E193" s="13"/>
      <c r="F193" s="14"/>
    </row>
    <row r="194" spans="4:6" ht="13" hidden="1">
      <c r="D194" s="12"/>
      <c r="E194" s="13"/>
      <c r="F194" s="14"/>
    </row>
    <row r="195" spans="4:6" ht="13" hidden="1">
      <c r="D195" s="12"/>
      <c r="E195" s="13"/>
      <c r="F195" s="14"/>
    </row>
    <row r="196" spans="4:6" ht="13" hidden="1">
      <c r="D196" s="12"/>
      <c r="E196" s="13"/>
      <c r="F196" s="14"/>
    </row>
    <row r="197" spans="4:6" ht="13" hidden="1">
      <c r="D197" s="12"/>
      <c r="E197" s="13"/>
      <c r="F197" s="14"/>
    </row>
    <row r="198" spans="4:6" ht="13" hidden="1">
      <c r="D198" s="12"/>
      <c r="E198" s="13"/>
      <c r="F198" s="14"/>
    </row>
    <row r="199" spans="4:6" ht="13" hidden="1">
      <c r="D199" s="12"/>
      <c r="E199" s="13"/>
      <c r="F199" s="14"/>
    </row>
    <row r="200" spans="4:6" ht="13" hidden="1">
      <c r="D200" s="12"/>
      <c r="E200" s="13"/>
      <c r="F200" s="14"/>
    </row>
    <row r="201" spans="4:6" ht="13" hidden="1">
      <c r="D201" s="12"/>
      <c r="E201" s="13"/>
      <c r="F201" s="14"/>
    </row>
    <row r="202" spans="4:6" ht="13" hidden="1">
      <c r="D202" s="12"/>
      <c r="E202" s="13"/>
      <c r="F202" s="14"/>
    </row>
    <row r="203" spans="4:6" ht="13" hidden="1">
      <c r="D203" s="12"/>
      <c r="E203" s="13"/>
      <c r="F203" s="14"/>
    </row>
    <row r="204" spans="4:6" ht="13" hidden="1">
      <c r="D204" s="12"/>
      <c r="E204" s="13"/>
      <c r="F204" s="14"/>
    </row>
    <row r="205" spans="4:6" ht="13" hidden="1">
      <c r="D205" s="12"/>
      <c r="E205" s="13"/>
      <c r="F205" s="14"/>
    </row>
    <row r="206" spans="4:6" ht="13" hidden="1">
      <c r="D206" s="12"/>
      <c r="E206" s="13"/>
      <c r="F206" s="14"/>
    </row>
    <row r="207" spans="4:6" ht="13" hidden="1">
      <c r="D207" s="12"/>
      <c r="E207" s="13"/>
      <c r="F207" s="14"/>
    </row>
    <row r="208" spans="4:6" ht="13" hidden="1">
      <c r="D208" s="12"/>
      <c r="E208" s="13"/>
      <c r="F208" s="14"/>
    </row>
    <row r="209" spans="4:6" ht="13" hidden="1">
      <c r="D209" s="12"/>
      <c r="E209" s="13"/>
      <c r="F209" s="14"/>
    </row>
    <row r="210" spans="4:6" ht="13" hidden="1">
      <c r="D210" s="12"/>
      <c r="E210" s="13"/>
      <c r="F210" s="14"/>
    </row>
    <row r="211" spans="4:6" ht="13" hidden="1">
      <c r="D211" s="12"/>
      <c r="E211" s="13"/>
      <c r="F211" s="14"/>
    </row>
    <row r="212" spans="4:6" ht="13" hidden="1">
      <c r="D212" s="12"/>
      <c r="E212" s="13"/>
      <c r="F212" s="14"/>
    </row>
    <row r="213" spans="4:6" ht="13" hidden="1">
      <c r="D213" s="12"/>
      <c r="E213" s="13"/>
      <c r="F213" s="14"/>
    </row>
    <row r="214" spans="4:6" ht="13" hidden="1">
      <c r="D214" s="12"/>
      <c r="E214" s="13"/>
      <c r="F214" s="14"/>
    </row>
    <row r="215" spans="4:6" ht="13" hidden="1">
      <c r="D215" s="12"/>
      <c r="E215" s="13"/>
      <c r="F215" s="14"/>
    </row>
    <row r="216" spans="4:6" ht="13" hidden="1">
      <c r="D216" s="12"/>
      <c r="E216" s="13"/>
      <c r="F216" s="14"/>
    </row>
    <row r="217" spans="4:6" ht="13" hidden="1">
      <c r="D217" s="12"/>
      <c r="E217" s="13"/>
      <c r="F217" s="14"/>
    </row>
    <row r="218" spans="4:6" ht="13" hidden="1">
      <c r="D218" s="12"/>
      <c r="E218" s="13"/>
      <c r="F218" s="14"/>
    </row>
    <row r="219" spans="4:6" ht="13" hidden="1">
      <c r="D219" s="12"/>
      <c r="E219" s="13"/>
      <c r="F219" s="14"/>
    </row>
    <row r="220" spans="4:6" ht="13" hidden="1">
      <c r="D220" s="12"/>
      <c r="E220" s="13"/>
      <c r="F220" s="14"/>
    </row>
    <row r="221" spans="4:6" ht="13" hidden="1">
      <c r="D221" s="12"/>
      <c r="E221" s="13"/>
      <c r="F221" s="14"/>
    </row>
    <row r="222" spans="4:6" ht="13" hidden="1">
      <c r="D222" s="12"/>
      <c r="E222" s="13"/>
      <c r="F222" s="14"/>
    </row>
    <row r="223" spans="4:6" ht="13" hidden="1">
      <c r="D223" s="12"/>
      <c r="E223" s="13"/>
      <c r="F223" s="14"/>
    </row>
    <row r="224" spans="4:6" ht="13" hidden="1">
      <c r="D224" s="12"/>
      <c r="E224" s="13"/>
      <c r="F224" s="14"/>
    </row>
    <row r="225" spans="4:6" ht="13" hidden="1">
      <c r="D225" s="12"/>
      <c r="E225" s="13"/>
      <c r="F225" s="14"/>
    </row>
    <row r="226" spans="4:6" ht="13" hidden="1">
      <c r="D226" s="12"/>
      <c r="E226" s="13"/>
      <c r="F226" s="14"/>
    </row>
    <row r="227" spans="4:6" ht="13" hidden="1">
      <c r="D227" s="12"/>
      <c r="E227" s="13"/>
      <c r="F227" s="14"/>
    </row>
    <row r="228" spans="4:6" ht="13" hidden="1">
      <c r="D228" s="12"/>
      <c r="E228" s="13"/>
      <c r="F228" s="14"/>
    </row>
    <row r="229" spans="4:6" ht="13" hidden="1">
      <c r="D229" s="12"/>
      <c r="E229" s="13"/>
      <c r="F229" s="14"/>
    </row>
    <row r="230" spans="4:6" ht="13" hidden="1">
      <c r="D230" s="12"/>
      <c r="E230" s="13"/>
      <c r="F230" s="14"/>
    </row>
    <row r="231" spans="4:6" ht="13" hidden="1">
      <c r="D231" s="12"/>
      <c r="E231" s="13"/>
      <c r="F231" s="14"/>
    </row>
    <row r="232" spans="4:6" ht="13" hidden="1">
      <c r="D232" s="12"/>
      <c r="E232" s="13"/>
      <c r="F232" s="14"/>
    </row>
    <row r="233" spans="4:6" ht="13" hidden="1">
      <c r="D233" s="12"/>
      <c r="E233" s="13"/>
      <c r="F233" s="14"/>
    </row>
    <row r="234" spans="4:6" ht="13" hidden="1">
      <c r="D234" s="12"/>
      <c r="E234" s="13"/>
      <c r="F234" s="14"/>
    </row>
    <row r="235" spans="4:6" ht="13" hidden="1">
      <c r="D235" s="12"/>
      <c r="E235" s="13"/>
      <c r="F235" s="14"/>
    </row>
    <row r="236" spans="4:6" ht="13" hidden="1">
      <c r="D236" s="12"/>
      <c r="E236" s="13"/>
      <c r="F236" s="14"/>
    </row>
    <row r="237" spans="4:6" ht="13" hidden="1">
      <c r="D237" s="12"/>
      <c r="E237" s="13"/>
      <c r="F237" s="14"/>
    </row>
    <row r="238" spans="4:6" ht="13" hidden="1">
      <c r="D238" s="12"/>
      <c r="E238" s="13"/>
      <c r="F238" s="14"/>
    </row>
    <row r="239" spans="4:6" ht="13" hidden="1">
      <c r="D239" s="12"/>
      <c r="E239" s="13"/>
      <c r="F239" s="14"/>
    </row>
    <row r="240" spans="4:6" ht="13" hidden="1">
      <c r="D240" s="12"/>
      <c r="E240" s="13"/>
      <c r="F240" s="14"/>
    </row>
    <row r="241" spans="4:6" ht="13" hidden="1">
      <c r="D241" s="12"/>
      <c r="E241" s="13"/>
      <c r="F241" s="14"/>
    </row>
    <row r="242" spans="4:6" ht="13" hidden="1">
      <c r="D242" s="12"/>
      <c r="E242" s="13"/>
      <c r="F242" s="14"/>
    </row>
    <row r="243" spans="4:6" ht="13" hidden="1">
      <c r="D243" s="12"/>
      <c r="E243" s="13"/>
      <c r="F243" s="14"/>
    </row>
    <row r="244" spans="4:6" ht="13" hidden="1">
      <c r="D244" s="12"/>
      <c r="E244" s="13"/>
      <c r="F244" s="14"/>
    </row>
    <row r="245" spans="4:6" ht="13" hidden="1">
      <c r="D245" s="12"/>
      <c r="E245" s="13"/>
      <c r="F245" s="14"/>
    </row>
    <row r="246" spans="4:6" ht="13" hidden="1">
      <c r="D246" s="12"/>
      <c r="E246" s="13"/>
      <c r="F246" s="14"/>
    </row>
    <row r="247" spans="4:6" ht="13" hidden="1">
      <c r="D247" s="12"/>
      <c r="E247" s="13"/>
      <c r="F247" s="14"/>
    </row>
    <row r="248" spans="4:6" ht="13" hidden="1">
      <c r="D248" s="12"/>
      <c r="E248" s="13"/>
      <c r="F248" s="14"/>
    </row>
    <row r="249" spans="4:6" ht="13" hidden="1">
      <c r="D249" s="12"/>
      <c r="E249" s="13"/>
      <c r="F249" s="14"/>
    </row>
    <row r="250" spans="4:6" ht="13" hidden="1">
      <c r="D250" s="12"/>
      <c r="E250" s="13"/>
      <c r="F250" s="14"/>
    </row>
    <row r="251" spans="4:6" ht="13" hidden="1">
      <c r="D251" s="12"/>
      <c r="E251" s="13"/>
      <c r="F251" s="14"/>
    </row>
    <row r="252" spans="4:6" ht="13" hidden="1">
      <c r="D252" s="12"/>
      <c r="E252" s="13"/>
      <c r="F252" s="14"/>
    </row>
    <row r="253" spans="4:6" ht="13" hidden="1">
      <c r="D253" s="12"/>
      <c r="E253" s="13"/>
      <c r="F253" s="14"/>
    </row>
    <row r="254" spans="4:6" ht="13" hidden="1">
      <c r="D254" s="12"/>
      <c r="E254" s="13"/>
      <c r="F254" s="14"/>
    </row>
    <row r="255" spans="4:6" ht="13" hidden="1">
      <c r="D255" s="12"/>
      <c r="E255" s="13"/>
      <c r="F255" s="14"/>
    </row>
    <row r="256" spans="4:6" ht="13" hidden="1">
      <c r="D256" s="12"/>
      <c r="E256" s="13"/>
      <c r="F256" s="14"/>
    </row>
    <row r="257" spans="4:6" ht="13" hidden="1">
      <c r="D257" s="12"/>
      <c r="E257" s="13"/>
      <c r="F257" s="14"/>
    </row>
    <row r="258" spans="4:6" ht="13" hidden="1">
      <c r="D258" s="12"/>
      <c r="E258" s="13"/>
      <c r="F258" s="14"/>
    </row>
    <row r="259" spans="4:6" ht="13" hidden="1">
      <c r="D259" s="12"/>
      <c r="E259" s="13"/>
      <c r="F259" s="14"/>
    </row>
    <row r="260" spans="4:6" ht="13" hidden="1">
      <c r="D260" s="12"/>
      <c r="E260" s="13"/>
      <c r="F260" s="14"/>
    </row>
    <row r="261" spans="4:6" ht="13" hidden="1">
      <c r="D261" s="12"/>
      <c r="E261" s="13"/>
      <c r="F261" s="14"/>
    </row>
    <row r="262" spans="4:6" ht="13" hidden="1">
      <c r="D262" s="12"/>
      <c r="E262" s="13"/>
      <c r="F262" s="14"/>
    </row>
    <row r="263" spans="4:6" ht="13" hidden="1">
      <c r="D263" s="12"/>
      <c r="E263" s="13"/>
      <c r="F263" s="14"/>
    </row>
    <row r="264" spans="4:6" ht="13" hidden="1">
      <c r="D264" s="12"/>
      <c r="E264" s="13"/>
      <c r="F264" s="14"/>
    </row>
    <row r="265" spans="4:6" ht="13" hidden="1">
      <c r="D265" s="12"/>
      <c r="E265" s="13"/>
      <c r="F265" s="14"/>
    </row>
    <row r="266" spans="4:6" ht="13" hidden="1">
      <c r="D266" s="12"/>
      <c r="E266" s="13"/>
      <c r="F266" s="14"/>
    </row>
    <row r="267" spans="4:6" ht="13" hidden="1">
      <c r="D267" s="12"/>
      <c r="E267" s="13"/>
      <c r="F267" s="14"/>
    </row>
    <row r="268" spans="4:6" ht="13" hidden="1">
      <c r="D268" s="12"/>
      <c r="E268" s="13"/>
      <c r="F268" s="14"/>
    </row>
    <row r="269" spans="4:6" ht="13" hidden="1">
      <c r="D269" s="12"/>
      <c r="E269" s="13"/>
      <c r="F269" s="14"/>
    </row>
    <row r="270" spans="4:6" ht="13" hidden="1">
      <c r="D270" s="12"/>
      <c r="E270" s="13"/>
      <c r="F270" s="14"/>
    </row>
    <row r="271" spans="4:6" ht="13" hidden="1">
      <c r="D271" s="12"/>
      <c r="E271" s="13"/>
      <c r="F271" s="14"/>
    </row>
    <row r="272" spans="4:6" ht="13" hidden="1">
      <c r="D272" s="12"/>
      <c r="E272" s="13"/>
      <c r="F272" s="14"/>
    </row>
    <row r="273" spans="4:6" ht="13" hidden="1">
      <c r="D273" s="12"/>
      <c r="E273" s="13"/>
      <c r="F273" s="14"/>
    </row>
    <row r="274" spans="4:6" ht="13" hidden="1">
      <c r="D274" s="12"/>
      <c r="E274" s="13"/>
      <c r="F274" s="14"/>
    </row>
    <row r="275" spans="4:6" ht="13" hidden="1">
      <c r="D275" s="12"/>
      <c r="E275" s="13"/>
      <c r="F275" s="14"/>
    </row>
    <row r="276" spans="4:6" ht="13" hidden="1">
      <c r="D276" s="12"/>
      <c r="E276" s="13"/>
      <c r="F276" s="14"/>
    </row>
    <row r="277" spans="4:6" ht="13" hidden="1">
      <c r="D277" s="12"/>
      <c r="E277" s="13"/>
      <c r="F277" s="14"/>
    </row>
    <row r="278" spans="4:6" ht="13" hidden="1">
      <c r="D278" s="12"/>
      <c r="E278" s="13"/>
      <c r="F278" s="14"/>
    </row>
    <row r="279" spans="4:6" ht="13" hidden="1">
      <c r="D279" s="12"/>
      <c r="E279" s="13"/>
      <c r="F279" s="14"/>
    </row>
    <row r="280" spans="4:6" ht="13" hidden="1">
      <c r="D280" s="12"/>
      <c r="E280" s="13"/>
      <c r="F280" s="14"/>
    </row>
    <row r="281" spans="4:6" ht="13" hidden="1">
      <c r="D281" s="12"/>
      <c r="E281" s="13"/>
      <c r="F281" s="14"/>
    </row>
    <row r="282" spans="4:6" ht="13" hidden="1">
      <c r="D282" s="12"/>
      <c r="E282" s="13"/>
      <c r="F282" s="14"/>
    </row>
    <row r="283" spans="4:6" ht="13" hidden="1">
      <c r="D283" s="12"/>
      <c r="E283" s="13"/>
      <c r="F283" s="14"/>
    </row>
    <row r="284" spans="4:6" ht="13" hidden="1">
      <c r="D284" s="12"/>
      <c r="E284" s="13"/>
      <c r="F284" s="14"/>
    </row>
    <row r="285" spans="4:6" ht="13" hidden="1">
      <c r="D285" s="12"/>
      <c r="E285" s="13"/>
      <c r="F285" s="14"/>
    </row>
    <row r="286" spans="4:6" ht="13" hidden="1">
      <c r="D286" s="12"/>
      <c r="E286" s="13"/>
      <c r="F286" s="14"/>
    </row>
    <row r="287" spans="4:6" ht="13" hidden="1">
      <c r="D287" s="12"/>
      <c r="E287" s="13"/>
      <c r="F287" s="14"/>
    </row>
    <row r="288" spans="4:6" ht="13" hidden="1">
      <c r="D288" s="12"/>
      <c r="E288" s="13"/>
      <c r="F288" s="14"/>
    </row>
    <row r="289" spans="4:6" ht="13" hidden="1">
      <c r="D289" s="12"/>
      <c r="E289" s="13"/>
      <c r="F289" s="14"/>
    </row>
    <row r="290" spans="4:6" ht="13" hidden="1">
      <c r="D290" s="12"/>
      <c r="E290" s="13"/>
      <c r="F290" s="14"/>
    </row>
    <row r="291" spans="4:6" ht="13" hidden="1">
      <c r="D291" s="12"/>
      <c r="E291" s="13"/>
      <c r="F291" s="14"/>
    </row>
    <row r="292" spans="4:6" ht="13" hidden="1">
      <c r="D292" s="12"/>
      <c r="E292" s="13"/>
      <c r="F292" s="14"/>
    </row>
    <row r="293" spans="4:6" ht="13" hidden="1">
      <c r="D293" s="12"/>
      <c r="E293" s="13"/>
      <c r="F293" s="14"/>
    </row>
    <row r="294" spans="4:6" ht="13" hidden="1">
      <c r="D294" s="12"/>
      <c r="E294" s="13"/>
      <c r="F294" s="14"/>
    </row>
    <row r="295" spans="4:6" ht="13" hidden="1">
      <c r="D295" s="12"/>
      <c r="E295" s="13"/>
      <c r="F295" s="14"/>
    </row>
    <row r="296" spans="4:6" ht="13" hidden="1">
      <c r="D296" s="12"/>
      <c r="E296" s="13"/>
      <c r="F296" s="14"/>
    </row>
    <row r="297" spans="4:6" ht="13" hidden="1">
      <c r="D297" s="12"/>
      <c r="E297" s="13"/>
      <c r="F297" s="14"/>
    </row>
    <row r="298" spans="4:6" ht="13" hidden="1">
      <c r="D298" s="12"/>
      <c r="E298" s="13"/>
      <c r="F298" s="14"/>
    </row>
    <row r="299" spans="4:6" ht="13" hidden="1">
      <c r="D299" s="12"/>
      <c r="E299" s="13"/>
      <c r="F299" s="14"/>
    </row>
    <row r="300" spans="4:6" ht="13" hidden="1">
      <c r="D300" s="12"/>
      <c r="E300" s="13"/>
      <c r="F300" s="14"/>
    </row>
    <row r="301" spans="4:6" ht="13" hidden="1">
      <c r="D301" s="12"/>
      <c r="E301" s="13"/>
      <c r="F301" s="14"/>
    </row>
    <row r="302" spans="4:6" ht="13" hidden="1">
      <c r="D302" s="12"/>
      <c r="E302" s="13"/>
      <c r="F302" s="14"/>
    </row>
    <row r="303" spans="4:6" ht="13" hidden="1">
      <c r="D303" s="12"/>
      <c r="E303" s="13"/>
      <c r="F303" s="14"/>
    </row>
    <row r="304" spans="4:6" ht="13" hidden="1">
      <c r="D304" s="12"/>
      <c r="E304" s="13"/>
      <c r="F304" s="14"/>
    </row>
    <row r="305" spans="4:6" ht="13" hidden="1">
      <c r="D305" s="12"/>
      <c r="E305" s="13"/>
      <c r="F305" s="14"/>
    </row>
    <row r="306" spans="4:6" ht="13" hidden="1">
      <c r="D306" s="12"/>
      <c r="E306" s="13"/>
      <c r="F306" s="14"/>
    </row>
    <row r="307" spans="4:6" ht="13" hidden="1">
      <c r="D307" s="12"/>
      <c r="E307" s="13"/>
      <c r="F307" s="14"/>
    </row>
    <row r="308" spans="4:6" ht="13" hidden="1">
      <c r="D308" s="12"/>
      <c r="E308" s="13"/>
      <c r="F308" s="14"/>
    </row>
    <row r="309" spans="4:6" ht="13" hidden="1">
      <c r="D309" s="12"/>
      <c r="E309" s="13"/>
      <c r="F309" s="14"/>
    </row>
    <row r="310" spans="4:6" ht="13" hidden="1">
      <c r="D310" s="12"/>
      <c r="E310" s="13"/>
      <c r="F310" s="14"/>
    </row>
    <row r="311" spans="4:6" ht="13" hidden="1">
      <c r="D311" s="12"/>
      <c r="E311" s="13"/>
      <c r="F311" s="14"/>
    </row>
    <row r="312" spans="4:6" ht="13" hidden="1">
      <c r="D312" s="12"/>
      <c r="E312" s="13"/>
      <c r="F312" s="14"/>
    </row>
    <row r="313" spans="4:6" ht="13" hidden="1">
      <c r="D313" s="12"/>
      <c r="E313" s="13"/>
      <c r="F313" s="14"/>
    </row>
    <row r="314" spans="4:6" ht="13" hidden="1">
      <c r="D314" s="12"/>
      <c r="E314" s="13"/>
      <c r="F314" s="14"/>
    </row>
    <row r="315" spans="4:6" ht="13" hidden="1">
      <c r="D315" s="12"/>
      <c r="E315" s="13"/>
      <c r="F315" s="14"/>
    </row>
    <row r="316" spans="4:6" ht="13" hidden="1">
      <c r="D316" s="12"/>
      <c r="E316" s="13"/>
      <c r="F316" s="14"/>
    </row>
    <row r="317" spans="4:6" ht="13" hidden="1">
      <c r="D317" s="12"/>
      <c r="E317" s="13"/>
      <c r="F317" s="14"/>
    </row>
    <row r="318" spans="4:6" ht="13" hidden="1">
      <c r="D318" s="12"/>
      <c r="E318" s="13"/>
      <c r="F318" s="14"/>
    </row>
    <row r="319" spans="4:6" ht="13" hidden="1">
      <c r="D319" s="12"/>
      <c r="E319" s="13"/>
      <c r="F319" s="14"/>
    </row>
    <row r="320" spans="4:6" ht="13" hidden="1">
      <c r="D320" s="12"/>
      <c r="E320" s="13"/>
      <c r="F320" s="14"/>
    </row>
    <row r="321" spans="4:6" ht="13" hidden="1">
      <c r="D321" s="12"/>
      <c r="E321" s="13"/>
      <c r="F321" s="14"/>
    </row>
    <row r="322" spans="4:6" ht="13" hidden="1">
      <c r="D322" s="12"/>
      <c r="E322" s="13"/>
      <c r="F322" s="14"/>
    </row>
    <row r="323" spans="4:6" ht="13" hidden="1">
      <c r="D323" s="12"/>
      <c r="E323" s="13"/>
      <c r="F323" s="14"/>
    </row>
    <row r="324" spans="4:6" ht="13" hidden="1">
      <c r="D324" s="12"/>
      <c r="E324" s="13"/>
      <c r="F324" s="14"/>
    </row>
    <row r="325" spans="4:6" ht="13" hidden="1">
      <c r="D325" s="12"/>
      <c r="E325" s="13"/>
      <c r="F325" s="14"/>
    </row>
    <row r="326" spans="4:6" ht="13" hidden="1">
      <c r="D326" s="12"/>
      <c r="E326" s="13"/>
      <c r="F326" s="14"/>
    </row>
    <row r="327" spans="4:6" ht="13" hidden="1">
      <c r="D327" s="12"/>
      <c r="E327" s="13"/>
      <c r="F327" s="14"/>
    </row>
    <row r="328" spans="4:6" ht="13" hidden="1">
      <c r="D328" s="12"/>
      <c r="E328" s="13"/>
      <c r="F328" s="14"/>
    </row>
    <row r="329" spans="4:6" ht="13" hidden="1">
      <c r="D329" s="12"/>
      <c r="E329" s="13"/>
      <c r="F329" s="14"/>
    </row>
    <row r="330" spans="4:6" ht="13" hidden="1">
      <c r="D330" s="12"/>
      <c r="E330" s="13"/>
      <c r="F330" s="14"/>
    </row>
    <row r="331" spans="4:6" ht="13" hidden="1">
      <c r="D331" s="12"/>
      <c r="E331" s="13"/>
      <c r="F331" s="14"/>
    </row>
    <row r="332" spans="4:6" ht="13" hidden="1">
      <c r="D332" s="12"/>
      <c r="E332" s="13"/>
      <c r="F332" s="14"/>
    </row>
    <row r="333" spans="4:6" ht="13" hidden="1">
      <c r="D333" s="12"/>
      <c r="E333" s="13"/>
      <c r="F333" s="14"/>
    </row>
    <row r="334" spans="4:6" ht="13" hidden="1">
      <c r="D334" s="12"/>
      <c r="E334" s="13"/>
      <c r="F334" s="14"/>
    </row>
    <row r="335" spans="4:6" ht="13" hidden="1">
      <c r="D335" s="12"/>
      <c r="E335" s="13"/>
      <c r="F335" s="14"/>
    </row>
    <row r="336" spans="4:6" ht="13" hidden="1">
      <c r="D336" s="12"/>
      <c r="E336" s="13"/>
      <c r="F336" s="14"/>
    </row>
    <row r="337" spans="4:6" ht="13" hidden="1">
      <c r="D337" s="12"/>
      <c r="E337" s="13"/>
      <c r="F337" s="14"/>
    </row>
    <row r="338" spans="4:6" ht="13" hidden="1">
      <c r="D338" s="12"/>
      <c r="E338" s="13"/>
      <c r="F338" s="14"/>
    </row>
    <row r="339" spans="4:6" ht="13" hidden="1">
      <c r="D339" s="12"/>
      <c r="E339" s="13"/>
      <c r="F339" s="14"/>
    </row>
    <row r="340" spans="4:6" ht="13" hidden="1">
      <c r="D340" s="12"/>
      <c r="E340" s="13"/>
      <c r="F340" s="14"/>
    </row>
    <row r="341" spans="4:6" ht="13" hidden="1">
      <c r="D341" s="12"/>
      <c r="E341" s="13"/>
      <c r="F341" s="14"/>
    </row>
    <row r="342" spans="4:6" ht="13" hidden="1">
      <c r="D342" s="12"/>
      <c r="E342" s="13"/>
      <c r="F342" s="14"/>
    </row>
    <row r="343" spans="4:6" ht="13" hidden="1">
      <c r="D343" s="12"/>
      <c r="E343" s="13"/>
      <c r="F343" s="14"/>
    </row>
    <row r="344" spans="4:6" ht="13" hidden="1">
      <c r="D344" s="12"/>
      <c r="E344" s="13"/>
      <c r="F344" s="14"/>
    </row>
    <row r="345" spans="4:6" ht="13" hidden="1">
      <c r="D345" s="12"/>
      <c r="E345" s="13"/>
      <c r="F345" s="14"/>
    </row>
    <row r="346" spans="4:6" ht="13" hidden="1">
      <c r="D346" s="12"/>
      <c r="E346" s="13"/>
      <c r="F346" s="14"/>
    </row>
    <row r="347" spans="4:6" ht="13" hidden="1">
      <c r="D347" s="12"/>
      <c r="E347" s="13"/>
      <c r="F347" s="14"/>
    </row>
    <row r="348" spans="4:6" ht="13" hidden="1">
      <c r="D348" s="12"/>
      <c r="E348" s="13"/>
      <c r="F348" s="14"/>
    </row>
    <row r="349" spans="4:6" ht="13" hidden="1">
      <c r="D349" s="12"/>
      <c r="E349" s="13"/>
      <c r="F349" s="14"/>
    </row>
    <row r="350" spans="4:6" ht="13" hidden="1">
      <c r="D350" s="12"/>
      <c r="E350" s="13"/>
      <c r="F350" s="14"/>
    </row>
    <row r="351" spans="4:6" ht="13" hidden="1">
      <c r="D351" s="12"/>
      <c r="E351" s="13"/>
      <c r="F351" s="14"/>
    </row>
    <row r="352" spans="4:6" ht="13" hidden="1">
      <c r="D352" s="12"/>
      <c r="E352" s="13"/>
      <c r="F352" s="14"/>
    </row>
    <row r="353" spans="4:6" ht="13" hidden="1">
      <c r="D353" s="12"/>
      <c r="E353" s="13"/>
      <c r="F353" s="14"/>
    </row>
    <row r="354" spans="4:6" ht="13" hidden="1">
      <c r="D354" s="12"/>
      <c r="E354" s="13"/>
      <c r="F354" s="14"/>
    </row>
    <row r="355" spans="4:6" ht="13" hidden="1">
      <c r="D355" s="12"/>
      <c r="E355" s="13"/>
      <c r="F355" s="14"/>
    </row>
    <row r="356" spans="4:6" ht="13" hidden="1">
      <c r="D356" s="12"/>
      <c r="E356" s="13"/>
      <c r="F356" s="14"/>
    </row>
    <row r="357" spans="4:6" ht="13" hidden="1">
      <c r="D357" s="12"/>
      <c r="E357" s="13"/>
      <c r="F357" s="14"/>
    </row>
    <row r="358" spans="4:6" ht="13" hidden="1">
      <c r="D358" s="12"/>
      <c r="E358" s="13"/>
      <c r="F358" s="14"/>
    </row>
    <row r="359" spans="4:6" ht="13" hidden="1">
      <c r="D359" s="12"/>
      <c r="E359" s="13"/>
      <c r="F359" s="14"/>
    </row>
    <row r="360" spans="4:6" ht="13" hidden="1">
      <c r="D360" s="12"/>
      <c r="E360" s="13"/>
      <c r="F360" s="14"/>
    </row>
    <row r="361" spans="4:6" ht="13" hidden="1">
      <c r="D361" s="12"/>
      <c r="E361" s="13"/>
      <c r="F361" s="14"/>
    </row>
    <row r="362" spans="4:6" ht="13" hidden="1">
      <c r="D362" s="12"/>
      <c r="E362" s="13"/>
      <c r="F362" s="14"/>
    </row>
    <row r="363" spans="4:6" ht="13" hidden="1">
      <c r="D363" s="12"/>
      <c r="E363" s="13"/>
      <c r="F363" s="14"/>
    </row>
    <row r="364" spans="4:6" ht="13" hidden="1">
      <c r="D364" s="12"/>
      <c r="E364" s="13"/>
      <c r="F364" s="14"/>
    </row>
    <row r="365" spans="4:6" ht="13" hidden="1">
      <c r="D365" s="12"/>
      <c r="E365" s="13"/>
      <c r="F365" s="14"/>
    </row>
    <row r="366" spans="4:6" ht="13" hidden="1">
      <c r="D366" s="12"/>
      <c r="E366" s="13"/>
      <c r="F366" s="14"/>
    </row>
    <row r="367" spans="4:6" ht="13" hidden="1">
      <c r="D367" s="12"/>
      <c r="E367" s="13"/>
      <c r="F367" s="14"/>
    </row>
    <row r="368" spans="4:6" ht="13" hidden="1">
      <c r="D368" s="12"/>
      <c r="E368" s="13"/>
      <c r="F368" s="14"/>
    </row>
    <row r="369" spans="4:6" ht="13" hidden="1">
      <c r="D369" s="12"/>
      <c r="E369" s="13"/>
      <c r="F369" s="14"/>
    </row>
    <row r="370" spans="4:6" ht="13" hidden="1">
      <c r="D370" s="12"/>
      <c r="E370" s="13"/>
      <c r="F370" s="14"/>
    </row>
    <row r="371" spans="4:6" ht="13" hidden="1">
      <c r="D371" s="12"/>
      <c r="E371" s="13"/>
      <c r="F371" s="14"/>
    </row>
    <row r="372" spans="4:6" ht="13" hidden="1">
      <c r="D372" s="12"/>
      <c r="E372" s="13"/>
      <c r="F372" s="14"/>
    </row>
    <row r="373" spans="4:6" ht="13" hidden="1">
      <c r="D373" s="12"/>
      <c r="E373" s="13"/>
      <c r="F373" s="14"/>
    </row>
    <row r="374" spans="4:6" ht="13" hidden="1">
      <c r="D374" s="12"/>
      <c r="E374" s="13"/>
      <c r="F374" s="14"/>
    </row>
    <row r="375" spans="4:6" ht="13" hidden="1">
      <c r="D375" s="12"/>
      <c r="E375" s="13"/>
      <c r="F375" s="14"/>
    </row>
    <row r="376" spans="4:6" ht="13" hidden="1">
      <c r="D376" s="12"/>
      <c r="E376" s="13"/>
      <c r="F376" s="14"/>
    </row>
    <row r="377" spans="4:6" ht="13" hidden="1">
      <c r="D377" s="12"/>
      <c r="E377" s="13"/>
      <c r="F377" s="14"/>
    </row>
    <row r="378" spans="4:6" ht="13" hidden="1">
      <c r="D378" s="12"/>
      <c r="E378" s="13"/>
      <c r="F378" s="14"/>
    </row>
    <row r="379" spans="4:6" ht="13" hidden="1">
      <c r="D379" s="12"/>
      <c r="E379" s="13"/>
      <c r="F379" s="14"/>
    </row>
    <row r="380" spans="4:6" ht="13" hidden="1">
      <c r="D380" s="12"/>
      <c r="E380" s="13"/>
      <c r="F380" s="14"/>
    </row>
    <row r="381" spans="4:6" ht="13" hidden="1">
      <c r="D381" s="12"/>
      <c r="E381" s="13"/>
      <c r="F381" s="14"/>
    </row>
    <row r="382" spans="4:6" ht="13" hidden="1">
      <c r="D382" s="12"/>
      <c r="E382" s="13"/>
      <c r="F382" s="14"/>
    </row>
    <row r="383" spans="4:6" ht="13" hidden="1">
      <c r="D383" s="12"/>
      <c r="E383" s="13"/>
      <c r="F383" s="14"/>
    </row>
    <row r="384" spans="4:6" ht="13" hidden="1">
      <c r="D384" s="12"/>
      <c r="E384" s="13"/>
      <c r="F384" s="14"/>
    </row>
    <row r="385" spans="4:6" ht="13" hidden="1">
      <c r="D385" s="12"/>
      <c r="E385" s="13"/>
      <c r="F385" s="14"/>
    </row>
    <row r="386" spans="4:6" ht="13" hidden="1">
      <c r="D386" s="12"/>
      <c r="E386" s="13"/>
      <c r="F386" s="14"/>
    </row>
    <row r="387" spans="4:6" ht="13" hidden="1">
      <c r="D387" s="12"/>
      <c r="E387" s="13"/>
      <c r="F387" s="14"/>
    </row>
    <row r="388" spans="4:6" ht="13" hidden="1">
      <c r="D388" s="12"/>
      <c r="E388" s="13"/>
      <c r="F388" s="14"/>
    </row>
    <row r="389" spans="4:6" ht="13" hidden="1">
      <c r="D389" s="12"/>
      <c r="E389" s="13"/>
      <c r="F389" s="14"/>
    </row>
    <row r="390" spans="4:6" ht="13" hidden="1">
      <c r="D390" s="12"/>
      <c r="E390" s="13"/>
      <c r="F390" s="14"/>
    </row>
    <row r="391" spans="4:6" ht="13" hidden="1">
      <c r="D391" s="12"/>
      <c r="E391" s="13"/>
      <c r="F391" s="14"/>
    </row>
    <row r="392" spans="4:6" ht="13" hidden="1">
      <c r="D392" s="12"/>
      <c r="E392" s="13"/>
      <c r="F392" s="14"/>
    </row>
    <row r="393" spans="4:6" ht="13" hidden="1">
      <c r="D393" s="12"/>
      <c r="E393" s="13"/>
      <c r="F393" s="14"/>
    </row>
    <row r="394" spans="4:6" ht="13" hidden="1">
      <c r="D394" s="12"/>
      <c r="E394" s="13"/>
      <c r="F394" s="14"/>
    </row>
    <row r="395" spans="4:6" ht="13" hidden="1">
      <c r="D395" s="12"/>
      <c r="E395" s="13"/>
      <c r="F395" s="14"/>
    </row>
    <row r="396" spans="4:6" ht="13" hidden="1">
      <c r="D396" s="12"/>
      <c r="E396" s="13"/>
      <c r="F396" s="14"/>
    </row>
    <row r="397" spans="4:6" ht="13" hidden="1">
      <c r="D397" s="12"/>
      <c r="E397" s="13"/>
      <c r="F397" s="14"/>
    </row>
    <row r="398" spans="4:6" ht="13" hidden="1">
      <c r="D398" s="12"/>
      <c r="E398" s="13"/>
      <c r="F398" s="14"/>
    </row>
    <row r="399" spans="4:6" ht="13" hidden="1">
      <c r="D399" s="12"/>
      <c r="E399" s="13"/>
      <c r="F399" s="14"/>
    </row>
    <row r="400" spans="4:6" ht="13" hidden="1">
      <c r="D400" s="12"/>
      <c r="E400" s="13"/>
      <c r="F400" s="14"/>
    </row>
    <row r="401" spans="4:6" ht="13" hidden="1">
      <c r="D401" s="12"/>
      <c r="E401" s="13"/>
      <c r="F401" s="14"/>
    </row>
    <row r="402" spans="4:6" ht="13" hidden="1">
      <c r="D402" s="12"/>
      <c r="E402" s="13"/>
      <c r="F402" s="14"/>
    </row>
    <row r="403" spans="4:6" ht="13" hidden="1">
      <c r="D403" s="12"/>
      <c r="E403" s="13"/>
      <c r="F403" s="14"/>
    </row>
    <row r="404" spans="4:6" ht="13" hidden="1">
      <c r="D404" s="12"/>
      <c r="E404" s="13"/>
      <c r="F404" s="14"/>
    </row>
    <row r="405" spans="4:6" ht="13" hidden="1">
      <c r="D405" s="12"/>
      <c r="E405" s="13"/>
      <c r="F405" s="14"/>
    </row>
    <row r="406" spans="4:6" ht="13" hidden="1">
      <c r="D406" s="12"/>
      <c r="E406" s="13"/>
      <c r="F406" s="14"/>
    </row>
    <row r="407" spans="4:6" ht="13" hidden="1">
      <c r="D407" s="12"/>
      <c r="E407" s="13"/>
      <c r="F407" s="14"/>
    </row>
    <row r="408" spans="4:6" ht="13" hidden="1">
      <c r="D408" s="12"/>
      <c r="E408" s="13"/>
      <c r="F408" s="14"/>
    </row>
    <row r="409" spans="4:6" ht="13" hidden="1">
      <c r="D409" s="12"/>
      <c r="E409" s="13"/>
      <c r="F409" s="14"/>
    </row>
    <row r="410" spans="4:6" ht="13" hidden="1">
      <c r="D410" s="12"/>
      <c r="E410" s="13"/>
      <c r="F410" s="14"/>
    </row>
    <row r="411" spans="4:6" ht="13" hidden="1">
      <c r="D411" s="12"/>
      <c r="E411" s="13"/>
      <c r="F411" s="14"/>
    </row>
    <row r="412" spans="4:6" ht="13" hidden="1">
      <c r="D412" s="12"/>
      <c r="E412" s="13"/>
      <c r="F412" s="14"/>
    </row>
    <row r="413" spans="4:6" ht="13" hidden="1">
      <c r="D413" s="12"/>
      <c r="E413" s="13"/>
      <c r="F413" s="14"/>
    </row>
    <row r="414" spans="4:6" ht="13" hidden="1">
      <c r="D414" s="12"/>
      <c r="E414" s="13"/>
      <c r="F414" s="14"/>
    </row>
    <row r="415" spans="4:6" ht="13" hidden="1">
      <c r="D415" s="12"/>
      <c r="E415" s="13"/>
      <c r="F415" s="14"/>
    </row>
    <row r="416" spans="4:6" ht="13" hidden="1">
      <c r="D416" s="12"/>
      <c r="E416" s="13"/>
      <c r="F416" s="14"/>
    </row>
    <row r="417" spans="4:6" ht="13" hidden="1">
      <c r="D417" s="12"/>
      <c r="E417" s="13"/>
      <c r="F417" s="14"/>
    </row>
    <row r="418" spans="4:6" ht="13" hidden="1">
      <c r="D418" s="12"/>
      <c r="E418" s="13"/>
      <c r="F418" s="14"/>
    </row>
    <row r="419" spans="4:6" ht="13" hidden="1">
      <c r="D419" s="12"/>
      <c r="E419" s="13"/>
      <c r="F419" s="14"/>
    </row>
    <row r="420" spans="4:6" ht="13" hidden="1">
      <c r="D420" s="12"/>
      <c r="E420" s="13"/>
      <c r="F420" s="14"/>
    </row>
    <row r="421" spans="4:6" ht="13" hidden="1">
      <c r="D421" s="12"/>
      <c r="E421" s="13"/>
      <c r="F421" s="14"/>
    </row>
    <row r="422" spans="4:6" ht="13" hidden="1">
      <c r="D422" s="12"/>
      <c r="E422" s="13"/>
      <c r="F422" s="14"/>
    </row>
    <row r="423" spans="4:6" ht="13" hidden="1">
      <c r="D423" s="12"/>
      <c r="E423" s="13"/>
      <c r="F423" s="14"/>
    </row>
    <row r="424" spans="4:6" ht="13" hidden="1">
      <c r="D424" s="12"/>
      <c r="E424" s="13"/>
      <c r="F424" s="14"/>
    </row>
    <row r="425" spans="4:6" ht="13" hidden="1">
      <c r="D425" s="12"/>
      <c r="E425" s="13"/>
      <c r="F425" s="14"/>
    </row>
    <row r="426" spans="4:6" ht="13" hidden="1">
      <c r="D426" s="12"/>
      <c r="E426" s="13"/>
      <c r="F426" s="14"/>
    </row>
    <row r="427" spans="4:6" ht="13" hidden="1">
      <c r="D427" s="12"/>
      <c r="E427" s="13"/>
      <c r="F427" s="14"/>
    </row>
    <row r="428" spans="4:6" ht="13" hidden="1">
      <c r="D428" s="12"/>
      <c r="E428" s="13"/>
      <c r="F428" s="14"/>
    </row>
    <row r="429" spans="4:6" ht="13" hidden="1">
      <c r="D429" s="12"/>
      <c r="E429" s="13"/>
      <c r="F429" s="14"/>
    </row>
    <row r="430" spans="4:6" ht="13" hidden="1">
      <c r="D430" s="12"/>
      <c r="E430" s="13"/>
      <c r="F430" s="14"/>
    </row>
    <row r="431" spans="4:6" ht="13" hidden="1">
      <c r="D431" s="12"/>
      <c r="E431" s="13"/>
      <c r="F431" s="14"/>
    </row>
    <row r="432" spans="4:6" ht="13" hidden="1">
      <c r="D432" s="12"/>
      <c r="E432" s="13"/>
      <c r="F432" s="14"/>
    </row>
    <row r="433" spans="4:6" ht="13" hidden="1">
      <c r="D433" s="12"/>
      <c r="E433" s="13"/>
      <c r="F433" s="14"/>
    </row>
    <row r="434" spans="4:6" ht="13" hidden="1">
      <c r="D434" s="12"/>
      <c r="E434" s="13"/>
      <c r="F434" s="14"/>
    </row>
    <row r="435" spans="4:6" ht="13" hidden="1">
      <c r="D435" s="12"/>
      <c r="E435" s="13"/>
      <c r="F435" s="14"/>
    </row>
    <row r="436" spans="4:6" ht="13" hidden="1">
      <c r="D436" s="12"/>
      <c r="E436" s="13"/>
      <c r="F436" s="14"/>
    </row>
    <row r="437" spans="4:6" ht="13" hidden="1">
      <c r="D437" s="12"/>
      <c r="E437" s="13"/>
      <c r="F437" s="14"/>
    </row>
    <row r="438" spans="4:6" ht="13" hidden="1">
      <c r="D438" s="12"/>
      <c r="E438" s="13"/>
      <c r="F438" s="14"/>
    </row>
    <row r="439" spans="4:6" ht="13" hidden="1">
      <c r="D439" s="12"/>
      <c r="E439" s="13"/>
      <c r="F439" s="14"/>
    </row>
    <row r="440" spans="4:6" ht="13" hidden="1">
      <c r="D440" s="12"/>
      <c r="E440" s="13"/>
      <c r="F440" s="14"/>
    </row>
    <row r="441" spans="4:6" ht="13" hidden="1">
      <c r="D441" s="12"/>
      <c r="E441" s="13"/>
      <c r="F441" s="14"/>
    </row>
    <row r="442" spans="4:6" ht="13" hidden="1">
      <c r="D442" s="12"/>
      <c r="E442" s="13"/>
      <c r="F442" s="14"/>
    </row>
    <row r="443" spans="4:6" ht="13" hidden="1">
      <c r="D443" s="12"/>
      <c r="E443" s="13"/>
      <c r="F443" s="14"/>
    </row>
    <row r="444" spans="4:6" ht="13" hidden="1">
      <c r="D444" s="12"/>
      <c r="E444" s="13"/>
      <c r="F444" s="14"/>
    </row>
    <row r="445" spans="4:6" ht="13" hidden="1">
      <c r="D445" s="12"/>
      <c r="E445" s="13"/>
      <c r="F445" s="14"/>
    </row>
    <row r="446" spans="4:6" ht="13" hidden="1">
      <c r="D446" s="12"/>
      <c r="E446" s="13"/>
      <c r="F446" s="14"/>
    </row>
    <row r="447" spans="4:6" ht="13" hidden="1">
      <c r="D447" s="12"/>
      <c r="E447" s="13"/>
      <c r="F447" s="14"/>
    </row>
    <row r="448" spans="4:6" ht="13" hidden="1">
      <c r="D448" s="12"/>
      <c r="E448" s="13"/>
      <c r="F448" s="14"/>
    </row>
    <row r="449" spans="4:6" ht="13" hidden="1">
      <c r="D449" s="12"/>
      <c r="E449" s="13"/>
      <c r="F449" s="14"/>
    </row>
    <row r="450" spans="4:6" ht="13" hidden="1">
      <c r="D450" s="12"/>
      <c r="E450" s="13"/>
      <c r="F450" s="14"/>
    </row>
    <row r="451" spans="4:6" ht="13" hidden="1">
      <c r="D451" s="12"/>
      <c r="E451" s="13"/>
      <c r="F451" s="14"/>
    </row>
    <row r="452" spans="4:6" ht="13" hidden="1">
      <c r="D452" s="12"/>
      <c r="E452" s="13"/>
      <c r="F452" s="14"/>
    </row>
    <row r="453" spans="4:6" ht="13" hidden="1">
      <c r="D453" s="12"/>
      <c r="E453" s="13"/>
      <c r="F453" s="14"/>
    </row>
    <row r="454" spans="4:6" ht="13" hidden="1">
      <c r="D454" s="12"/>
      <c r="E454" s="13"/>
      <c r="F454" s="14"/>
    </row>
    <row r="455" spans="4:6" ht="13" hidden="1">
      <c r="D455" s="12"/>
      <c r="E455" s="13"/>
      <c r="F455" s="14"/>
    </row>
    <row r="456" spans="4:6" ht="13" hidden="1">
      <c r="D456" s="12"/>
      <c r="E456" s="13"/>
      <c r="F456" s="14"/>
    </row>
    <row r="457" spans="4:6" ht="13" hidden="1">
      <c r="D457" s="12"/>
      <c r="E457" s="13"/>
      <c r="F457" s="14"/>
    </row>
    <row r="458" spans="4:6" ht="13" hidden="1">
      <c r="D458" s="12"/>
      <c r="E458" s="13"/>
      <c r="F458" s="14"/>
    </row>
    <row r="459" spans="4:6" ht="13" hidden="1">
      <c r="D459" s="12"/>
      <c r="E459" s="13"/>
      <c r="F459" s="14"/>
    </row>
    <row r="460" spans="4:6" ht="13" hidden="1">
      <c r="D460" s="12"/>
      <c r="E460" s="13"/>
      <c r="F460" s="14"/>
    </row>
    <row r="461" spans="4:6" ht="13" hidden="1">
      <c r="D461" s="12"/>
      <c r="E461" s="13"/>
      <c r="F461" s="14"/>
    </row>
    <row r="462" spans="4:6" ht="13" hidden="1">
      <c r="D462" s="12"/>
      <c r="E462" s="13"/>
      <c r="F462" s="14"/>
    </row>
    <row r="463" spans="4:6" ht="13" hidden="1">
      <c r="D463" s="12"/>
      <c r="E463" s="13"/>
      <c r="F463" s="14"/>
    </row>
    <row r="464" spans="4:6" ht="13" hidden="1">
      <c r="D464" s="12"/>
      <c r="E464" s="13"/>
      <c r="F464" s="14"/>
    </row>
    <row r="465" spans="4:6" ht="13" hidden="1">
      <c r="D465" s="12"/>
      <c r="E465" s="13"/>
      <c r="F465" s="14"/>
    </row>
    <row r="466" spans="4:6" ht="13" hidden="1">
      <c r="D466" s="12"/>
      <c r="E466" s="13"/>
      <c r="F466" s="14"/>
    </row>
    <row r="467" spans="4:6" ht="13" hidden="1">
      <c r="D467" s="12"/>
      <c r="E467" s="13"/>
      <c r="F467" s="14"/>
    </row>
    <row r="468" spans="4:6" ht="13" hidden="1">
      <c r="D468" s="12"/>
      <c r="E468" s="13"/>
      <c r="F468" s="14"/>
    </row>
    <row r="469" spans="4:6" ht="13" hidden="1">
      <c r="D469" s="12"/>
      <c r="E469" s="13"/>
      <c r="F469" s="14"/>
    </row>
    <row r="470" spans="4:6" ht="13" hidden="1">
      <c r="D470" s="12"/>
      <c r="E470" s="13"/>
      <c r="F470" s="14"/>
    </row>
    <row r="471" spans="4:6" ht="13" hidden="1">
      <c r="D471" s="12"/>
      <c r="E471" s="13"/>
      <c r="F471" s="14"/>
    </row>
    <row r="472" spans="4:6" ht="13" hidden="1">
      <c r="D472" s="12"/>
      <c r="E472" s="13"/>
      <c r="F472" s="14"/>
    </row>
    <row r="473" spans="4:6" ht="13" hidden="1">
      <c r="D473" s="12"/>
      <c r="E473" s="13"/>
      <c r="F473" s="14"/>
    </row>
    <row r="474" spans="4:6" ht="13" hidden="1">
      <c r="D474" s="12"/>
      <c r="E474" s="13"/>
      <c r="F474" s="14"/>
    </row>
    <row r="475" spans="4:6" ht="13" hidden="1">
      <c r="D475" s="12"/>
      <c r="E475" s="13"/>
      <c r="F475" s="14"/>
    </row>
    <row r="476" spans="4:6" ht="13" hidden="1">
      <c r="D476" s="12"/>
      <c r="E476" s="13"/>
      <c r="F476" s="14"/>
    </row>
    <row r="477" spans="4:6" ht="13" hidden="1">
      <c r="D477" s="12"/>
      <c r="E477" s="13"/>
      <c r="F477" s="14"/>
    </row>
    <row r="478" spans="4:6" ht="13" hidden="1">
      <c r="D478" s="12"/>
      <c r="E478" s="13"/>
      <c r="F478" s="14"/>
    </row>
    <row r="479" spans="4:6" ht="13" hidden="1">
      <c r="D479" s="12"/>
      <c r="E479" s="13"/>
      <c r="F479" s="14"/>
    </row>
    <row r="480" spans="4:6" ht="13" hidden="1">
      <c r="D480" s="12"/>
      <c r="E480" s="13"/>
      <c r="F480" s="14"/>
    </row>
    <row r="481" spans="4:6" ht="13" hidden="1">
      <c r="D481" s="12"/>
      <c r="E481" s="13"/>
      <c r="F481" s="14"/>
    </row>
    <row r="482" spans="4:6" ht="13" hidden="1">
      <c r="D482" s="12"/>
      <c r="E482" s="13"/>
      <c r="F482" s="14"/>
    </row>
    <row r="483" spans="4:6" ht="13" hidden="1">
      <c r="D483" s="12"/>
      <c r="E483" s="13"/>
      <c r="F483" s="14"/>
    </row>
    <row r="484" spans="4:6" ht="13" hidden="1">
      <c r="D484" s="12"/>
      <c r="E484" s="13"/>
      <c r="F484" s="14"/>
    </row>
    <row r="485" spans="4:6" ht="13" hidden="1">
      <c r="D485" s="12"/>
      <c r="E485" s="13"/>
      <c r="F485" s="14"/>
    </row>
    <row r="486" spans="4:6" ht="13" hidden="1">
      <c r="D486" s="12"/>
      <c r="E486" s="13"/>
      <c r="F486" s="14"/>
    </row>
    <row r="487" spans="4:6" ht="13" hidden="1">
      <c r="D487" s="12"/>
      <c r="E487" s="13"/>
      <c r="F487" s="14"/>
    </row>
    <row r="488" spans="4:6" ht="13" hidden="1">
      <c r="D488" s="12"/>
      <c r="E488" s="13"/>
      <c r="F488" s="14"/>
    </row>
    <row r="489" spans="4:6" ht="13" hidden="1">
      <c r="D489" s="12"/>
      <c r="E489" s="13"/>
      <c r="F489" s="14"/>
    </row>
    <row r="490" spans="4:6" ht="13" hidden="1">
      <c r="D490" s="12"/>
      <c r="E490" s="13"/>
      <c r="F490" s="14"/>
    </row>
    <row r="491" spans="4:6" ht="13" hidden="1">
      <c r="D491" s="12"/>
      <c r="E491" s="13"/>
      <c r="F491" s="14"/>
    </row>
    <row r="492" spans="4:6" ht="13" hidden="1">
      <c r="D492" s="12"/>
      <c r="E492" s="13"/>
      <c r="F492" s="14"/>
    </row>
    <row r="493" spans="4:6" ht="13" hidden="1">
      <c r="D493" s="12"/>
      <c r="E493" s="13"/>
      <c r="F493" s="14"/>
    </row>
    <row r="494" spans="4:6" ht="13" hidden="1">
      <c r="D494" s="12"/>
      <c r="E494" s="13"/>
      <c r="F494" s="14"/>
    </row>
    <row r="495" spans="4:6" ht="13" hidden="1">
      <c r="D495" s="12"/>
      <c r="E495" s="13"/>
      <c r="F495" s="14"/>
    </row>
    <row r="496" spans="4:6" ht="13" hidden="1">
      <c r="D496" s="12"/>
      <c r="E496" s="13"/>
      <c r="F496" s="14"/>
    </row>
    <row r="497" spans="4:6" ht="13" hidden="1">
      <c r="D497" s="12"/>
      <c r="E497" s="13"/>
      <c r="F497" s="14"/>
    </row>
    <row r="498" spans="4:6" ht="13" hidden="1">
      <c r="D498" s="12"/>
      <c r="E498" s="13"/>
      <c r="F498" s="14"/>
    </row>
    <row r="499" spans="4:6" ht="13" hidden="1">
      <c r="D499" s="12"/>
      <c r="E499" s="13"/>
      <c r="F499" s="14"/>
    </row>
    <row r="500" spans="4:6" ht="13" hidden="1">
      <c r="D500" s="12"/>
      <c r="E500" s="13"/>
      <c r="F500" s="14"/>
    </row>
    <row r="501" spans="4:6" ht="13" hidden="1">
      <c r="D501" s="12"/>
      <c r="E501" s="13"/>
      <c r="F501" s="14"/>
    </row>
    <row r="502" spans="4:6" ht="13" hidden="1">
      <c r="D502" s="12"/>
      <c r="E502" s="13"/>
      <c r="F502" s="14"/>
    </row>
    <row r="503" spans="4:6" ht="13" hidden="1">
      <c r="D503" s="12"/>
      <c r="E503" s="13"/>
      <c r="F503" s="14"/>
    </row>
    <row r="504" spans="4:6" ht="13" hidden="1">
      <c r="D504" s="12"/>
      <c r="E504" s="13"/>
      <c r="F504" s="14"/>
    </row>
    <row r="505" spans="4:6" ht="13" hidden="1">
      <c r="D505" s="12"/>
      <c r="E505" s="13"/>
      <c r="F505" s="14"/>
    </row>
    <row r="506" spans="4:6" ht="13" hidden="1">
      <c r="D506" s="12"/>
      <c r="E506" s="13"/>
      <c r="F506" s="14"/>
    </row>
    <row r="507" spans="4:6" ht="13" hidden="1">
      <c r="D507" s="12"/>
      <c r="E507" s="13"/>
      <c r="F507" s="14"/>
    </row>
    <row r="508" spans="4:6" ht="13" hidden="1">
      <c r="D508" s="12"/>
      <c r="E508" s="13"/>
      <c r="F508" s="14"/>
    </row>
    <row r="509" spans="4:6" ht="13" hidden="1">
      <c r="D509" s="12"/>
      <c r="E509" s="13"/>
      <c r="F509" s="14"/>
    </row>
    <row r="510" spans="4:6" ht="13" hidden="1">
      <c r="D510" s="12"/>
      <c r="E510" s="13"/>
      <c r="F510" s="14"/>
    </row>
    <row r="511" spans="4:6" ht="13" hidden="1">
      <c r="D511" s="12"/>
      <c r="E511" s="13"/>
      <c r="F511" s="14"/>
    </row>
    <row r="512" spans="4:6" ht="13" hidden="1">
      <c r="D512" s="12"/>
      <c r="E512" s="13"/>
      <c r="F512" s="14"/>
    </row>
    <row r="513" spans="4:6" ht="13" hidden="1">
      <c r="D513" s="12"/>
      <c r="E513" s="13"/>
      <c r="F513" s="14"/>
    </row>
    <row r="514" spans="4:6" ht="13" hidden="1">
      <c r="D514" s="12"/>
      <c r="E514" s="13"/>
      <c r="F514" s="14"/>
    </row>
    <row r="515" spans="4:6" ht="13" hidden="1">
      <c r="D515" s="12"/>
      <c r="E515" s="13"/>
      <c r="F515" s="14"/>
    </row>
    <row r="516" spans="4:6" ht="13" hidden="1">
      <c r="D516" s="12"/>
      <c r="E516" s="13"/>
      <c r="F516" s="14"/>
    </row>
    <row r="517" spans="4:6" ht="13" hidden="1">
      <c r="D517" s="12"/>
      <c r="E517" s="13"/>
      <c r="F517" s="14"/>
    </row>
    <row r="518" spans="4:6" ht="13" hidden="1">
      <c r="D518" s="12"/>
      <c r="E518" s="13"/>
      <c r="F518" s="14"/>
    </row>
    <row r="519" spans="4:6" ht="13" hidden="1">
      <c r="D519" s="12"/>
      <c r="E519" s="13"/>
      <c r="F519" s="14"/>
    </row>
    <row r="520" spans="4:6" ht="13" hidden="1">
      <c r="D520" s="12"/>
      <c r="E520" s="13"/>
      <c r="F520" s="14"/>
    </row>
    <row r="521" spans="4:6" ht="13" hidden="1">
      <c r="D521" s="12"/>
      <c r="E521" s="13"/>
      <c r="F521" s="14"/>
    </row>
    <row r="522" spans="4:6" ht="13" hidden="1">
      <c r="D522" s="12"/>
      <c r="E522" s="13"/>
      <c r="F522" s="14"/>
    </row>
    <row r="523" spans="4:6" ht="13" hidden="1">
      <c r="D523" s="12"/>
      <c r="E523" s="13"/>
      <c r="F523" s="14"/>
    </row>
    <row r="524" spans="4:6" ht="13" hidden="1">
      <c r="D524" s="12"/>
      <c r="E524" s="13"/>
      <c r="F524" s="14"/>
    </row>
    <row r="525" spans="4:6" ht="13" hidden="1">
      <c r="D525" s="12"/>
      <c r="E525" s="13"/>
      <c r="F525" s="14"/>
    </row>
    <row r="526" spans="4:6" ht="13" hidden="1">
      <c r="D526" s="12"/>
      <c r="E526" s="13"/>
      <c r="F526" s="14"/>
    </row>
    <row r="527" spans="4:6" ht="13" hidden="1">
      <c r="D527" s="12"/>
      <c r="E527" s="13"/>
      <c r="F527" s="14"/>
    </row>
    <row r="528" spans="4:6" ht="13" hidden="1">
      <c r="D528" s="12"/>
      <c r="E528" s="13"/>
      <c r="F528" s="14"/>
    </row>
    <row r="529" spans="4:6" ht="13" hidden="1">
      <c r="D529" s="12"/>
      <c r="E529" s="13"/>
      <c r="F529" s="14"/>
    </row>
    <row r="530" spans="4:6" ht="13" hidden="1">
      <c r="D530" s="12"/>
      <c r="E530" s="13"/>
      <c r="F530" s="14"/>
    </row>
    <row r="531" spans="4:6" ht="13" hidden="1">
      <c r="D531" s="12"/>
      <c r="E531" s="13"/>
      <c r="F531" s="14"/>
    </row>
    <row r="532" spans="4:6" ht="13" hidden="1">
      <c r="D532" s="12"/>
      <c r="E532" s="13"/>
      <c r="F532" s="14"/>
    </row>
    <row r="533" spans="4:6" ht="13" hidden="1">
      <c r="D533" s="12"/>
      <c r="E533" s="13"/>
      <c r="F533" s="14"/>
    </row>
    <row r="534" spans="4:6" ht="13" hidden="1">
      <c r="D534" s="12"/>
      <c r="E534" s="13"/>
      <c r="F534" s="14"/>
    </row>
    <row r="535" spans="4:6" ht="13" hidden="1">
      <c r="D535" s="12"/>
      <c r="E535" s="13"/>
      <c r="F535" s="14"/>
    </row>
    <row r="536" spans="4:6" ht="13" hidden="1">
      <c r="D536" s="12"/>
      <c r="E536" s="13"/>
      <c r="F536" s="14"/>
    </row>
    <row r="537" spans="4:6" ht="13" hidden="1">
      <c r="D537" s="12"/>
      <c r="E537" s="13"/>
      <c r="F537" s="14"/>
    </row>
    <row r="538" spans="4:6" ht="13" hidden="1">
      <c r="D538" s="12"/>
      <c r="E538" s="13"/>
      <c r="F538" s="14"/>
    </row>
    <row r="539" spans="4:6" ht="13" hidden="1">
      <c r="D539" s="12"/>
      <c r="E539" s="13"/>
      <c r="F539" s="14"/>
    </row>
    <row r="540" spans="4:6" ht="13" hidden="1">
      <c r="D540" s="12"/>
      <c r="E540" s="13"/>
      <c r="F540" s="14"/>
    </row>
    <row r="541" spans="4:6" ht="13" hidden="1">
      <c r="D541" s="12"/>
      <c r="E541" s="13"/>
      <c r="F541" s="14"/>
    </row>
    <row r="542" spans="4:6" ht="13" hidden="1">
      <c r="D542" s="12"/>
      <c r="E542" s="13"/>
      <c r="F542" s="14"/>
    </row>
    <row r="543" spans="4:6" ht="13" hidden="1">
      <c r="D543" s="12"/>
      <c r="E543" s="13"/>
      <c r="F543" s="14"/>
    </row>
    <row r="544" spans="4:6" ht="13" hidden="1">
      <c r="D544" s="12"/>
      <c r="E544" s="13"/>
      <c r="F544" s="14"/>
    </row>
    <row r="545" spans="4:6" ht="13" hidden="1">
      <c r="D545" s="12"/>
      <c r="E545" s="13"/>
      <c r="F545" s="14"/>
    </row>
    <row r="546" spans="4:6" ht="13" hidden="1">
      <c r="D546" s="12"/>
      <c r="E546" s="13"/>
      <c r="F546" s="14"/>
    </row>
    <row r="547" spans="4:6" ht="13" hidden="1">
      <c r="D547" s="12"/>
      <c r="E547" s="13"/>
      <c r="F547" s="14"/>
    </row>
    <row r="548" spans="4:6" ht="13" hidden="1">
      <c r="D548" s="12"/>
      <c r="E548" s="13"/>
      <c r="F548" s="14"/>
    </row>
    <row r="549" spans="4:6" ht="13" hidden="1">
      <c r="D549" s="12"/>
      <c r="E549" s="13"/>
      <c r="F549" s="14"/>
    </row>
    <row r="550" spans="4:6" ht="13" hidden="1">
      <c r="D550" s="12"/>
      <c r="E550" s="13"/>
      <c r="F550" s="14"/>
    </row>
    <row r="551" spans="4:6" ht="13" hidden="1">
      <c r="D551" s="12"/>
      <c r="E551" s="13"/>
      <c r="F551" s="14"/>
    </row>
    <row r="552" spans="4:6" ht="13" hidden="1">
      <c r="D552" s="12"/>
      <c r="E552" s="13"/>
      <c r="F552" s="14"/>
    </row>
    <row r="553" spans="4:6" ht="13" hidden="1">
      <c r="D553" s="12"/>
      <c r="E553" s="13"/>
      <c r="F553" s="14"/>
    </row>
    <row r="554" spans="4:6" ht="13" hidden="1">
      <c r="D554" s="12"/>
      <c r="E554" s="13"/>
      <c r="F554" s="14"/>
    </row>
    <row r="555" spans="4:6" ht="13" hidden="1">
      <c r="D555" s="12"/>
      <c r="E555" s="13"/>
      <c r="F555" s="14"/>
    </row>
    <row r="556" spans="4:6" ht="13" hidden="1">
      <c r="D556" s="12"/>
      <c r="E556" s="13"/>
      <c r="F556" s="14"/>
    </row>
    <row r="557" spans="4:6" ht="13" hidden="1">
      <c r="D557" s="12"/>
      <c r="E557" s="13"/>
      <c r="F557" s="14"/>
    </row>
    <row r="558" spans="4:6" ht="13" hidden="1">
      <c r="D558" s="12"/>
      <c r="E558" s="13"/>
      <c r="F558" s="14"/>
    </row>
    <row r="559" spans="4:6" ht="13" hidden="1">
      <c r="D559" s="12"/>
      <c r="E559" s="13"/>
      <c r="F559" s="14"/>
    </row>
    <row r="560" spans="4:6" ht="13" hidden="1">
      <c r="D560" s="12"/>
      <c r="E560" s="13"/>
      <c r="F560" s="14"/>
    </row>
    <row r="561" spans="4:6" ht="13" hidden="1">
      <c r="D561" s="12"/>
      <c r="E561" s="13"/>
      <c r="F561" s="14"/>
    </row>
    <row r="562" spans="4:6" ht="13" hidden="1">
      <c r="D562" s="12"/>
      <c r="E562" s="13"/>
      <c r="F562" s="14"/>
    </row>
    <row r="563" spans="4:6" ht="13" hidden="1">
      <c r="D563" s="12"/>
      <c r="E563" s="13"/>
      <c r="F563" s="14"/>
    </row>
    <row r="564" spans="4:6" ht="13" hidden="1">
      <c r="D564" s="12"/>
      <c r="E564" s="13"/>
      <c r="F564" s="14"/>
    </row>
    <row r="565" spans="4:6" ht="13" hidden="1">
      <c r="D565" s="12"/>
      <c r="E565" s="13"/>
      <c r="F565" s="14"/>
    </row>
    <row r="566" spans="4:6" ht="13" hidden="1">
      <c r="D566" s="12"/>
      <c r="E566" s="13"/>
      <c r="F566" s="14"/>
    </row>
    <row r="567" spans="4:6" ht="13" hidden="1">
      <c r="D567" s="12"/>
      <c r="E567" s="13"/>
      <c r="F567" s="14"/>
    </row>
    <row r="568" spans="4:6" ht="13" hidden="1">
      <c r="D568" s="12"/>
      <c r="E568" s="13"/>
      <c r="F568" s="14"/>
    </row>
    <row r="569" spans="4:6" ht="13" hidden="1">
      <c r="D569" s="12"/>
      <c r="E569" s="13"/>
      <c r="F569" s="14"/>
    </row>
    <row r="570" spans="4:6" ht="13" hidden="1">
      <c r="D570" s="12"/>
      <c r="E570" s="13"/>
      <c r="F570" s="14"/>
    </row>
    <row r="571" spans="4:6" ht="13" hidden="1">
      <c r="D571" s="12"/>
      <c r="E571" s="13"/>
      <c r="F571" s="14"/>
    </row>
    <row r="572" spans="4:6" ht="13" hidden="1">
      <c r="D572" s="12"/>
      <c r="E572" s="13"/>
      <c r="F572" s="14"/>
    </row>
    <row r="573" spans="4:6" ht="13" hidden="1">
      <c r="D573" s="12"/>
      <c r="E573" s="13"/>
      <c r="F573" s="14"/>
    </row>
    <row r="574" spans="4:6" ht="13" hidden="1">
      <c r="D574" s="12"/>
      <c r="E574" s="13"/>
      <c r="F574" s="14"/>
    </row>
    <row r="575" spans="4:6" ht="13" hidden="1">
      <c r="D575" s="12"/>
      <c r="E575" s="13"/>
      <c r="F575" s="14"/>
    </row>
    <row r="576" spans="4:6" ht="13" hidden="1">
      <c r="D576" s="12"/>
      <c r="E576" s="13"/>
      <c r="F576" s="14"/>
    </row>
    <row r="577" spans="4:6" ht="13" hidden="1">
      <c r="D577" s="12"/>
      <c r="E577" s="13"/>
      <c r="F577" s="14"/>
    </row>
    <row r="578" spans="4:6" ht="13" hidden="1">
      <c r="D578" s="12"/>
      <c r="E578" s="13"/>
      <c r="F578" s="14"/>
    </row>
    <row r="579" spans="4:6" ht="13" hidden="1">
      <c r="D579" s="12"/>
      <c r="E579" s="13"/>
      <c r="F579" s="14"/>
    </row>
    <row r="580" spans="4:6" ht="13" hidden="1">
      <c r="D580" s="12"/>
      <c r="E580" s="13"/>
      <c r="F580" s="14"/>
    </row>
    <row r="581" spans="4:6" ht="13" hidden="1">
      <c r="D581" s="12"/>
      <c r="E581" s="13"/>
      <c r="F581" s="14"/>
    </row>
    <row r="582" spans="4:6" ht="13" hidden="1">
      <c r="D582" s="12"/>
      <c r="E582" s="13"/>
      <c r="F582" s="14"/>
    </row>
    <row r="583" spans="4:6" ht="13" hidden="1">
      <c r="D583" s="12"/>
      <c r="E583" s="13"/>
      <c r="F583" s="14"/>
    </row>
    <row r="584" spans="4:6" ht="13" hidden="1">
      <c r="D584" s="12"/>
      <c r="E584" s="13"/>
      <c r="F584" s="14"/>
    </row>
    <row r="585" spans="4:6" ht="13" hidden="1">
      <c r="D585" s="12"/>
      <c r="E585" s="13"/>
      <c r="F585" s="14"/>
    </row>
    <row r="586" spans="4:6" ht="13" hidden="1">
      <c r="D586" s="12"/>
      <c r="E586" s="13"/>
      <c r="F586" s="14"/>
    </row>
    <row r="587" spans="4:6" ht="13" hidden="1">
      <c r="D587" s="12"/>
      <c r="E587" s="13"/>
      <c r="F587" s="14"/>
    </row>
    <row r="588" spans="4:6" ht="13" hidden="1">
      <c r="D588" s="12"/>
      <c r="E588" s="13"/>
      <c r="F588" s="14"/>
    </row>
    <row r="589" spans="4:6" ht="13" hidden="1">
      <c r="D589" s="12"/>
      <c r="E589" s="13"/>
      <c r="F589" s="14"/>
    </row>
    <row r="590" spans="4:6" ht="13" hidden="1">
      <c r="D590" s="12"/>
      <c r="E590" s="13"/>
      <c r="F590" s="14"/>
    </row>
    <row r="591" spans="4:6" ht="13" hidden="1">
      <c r="D591" s="12"/>
      <c r="E591" s="13"/>
      <c r="F591" s="14"/>
    </row>
    <row r="592" spans="4:6" ht="13" hidden="1">
      <c r="D592" s="12"/>
      <c r="E592" s="13"/>
      <c r="F592" s="14"/>
    </row>
    <row r="593" spans="4:6" ht="13" hidden="1">
      <c r="D593" s="12"/>
      <c r="E593" s="13"/>
      <c r="F593" s="14"/>
    </row>
    <row r="594" spans="4:6" ht="13" hidden="1">
      <c r="D594" s="12"/>
      <c r="E594" s="13"/>
      <c r="F594" s="14"/>
    </row>
    <row r="595" spans="4:6" ht="13" hidden="1">
      <c r="D595" s="12"/>
      <c r="E595" s="13"/>
      <c r="F595" s="14"/>
    </row>
    <row r="596" spans="4:6" ht="13" hidden="1">
      <c r="D596" s="12"/>
      <c r="E596" s="13"/>
      <c r="F596" s="14"/>
    </row>
    <row r="597" spans="4:6" ht="13" hidden="1">
      <c r="D597" s="12"/>
      <c r="E597" s="13"/>
      <c r="F597" s="14"/>
    </row>
    <row r="598" spans="4:6" ht="13" hidden="1">
      <c r="D598" s="12"/>
      <c r="E598" s="13"/>
      <c r="F598" s="14"/>
    </row>
    <row r="599" spans="4:6" ht="13" hidden="1">
      <c r="D599" s="12"/>
      <c r="E599" s="13"/>
      <c r="F599" s="14"/>
    </row>
    <row r="600" spans="4:6" ht="13" hidden="1">
      <c r="D600" s="12"/>
      <c r="E600" s="13"/>
      <c r="F600" s="14"/>
    </row>
    <row r="601" spans="4:6" ht="13" hidden="1">
      <c r="D601" s="12"/>
      <c r="E601" s="13"/>
      <c r="F601" s="14"/>
    </row>
    <row r="602" spans="4:6" ht="13" hidden="1">
      <c r="D602" s="12"/>
      <c r="E602" s="13"/>
      <c r="F602" s="14"/>
    </row>
    <row r="603" spans="4:6" ht="13" hidden="1">
      <c r="D603" s="12"/>
      <c r="E603" s="13"/>
      <c r="F603" s="14"/>
    </row>
    <row r="604" spans="4:6" ht="13" hidden="1">
      <c r="D604" s="12"/>
      <c r="E604" s="13"/>
      <c r="F604" s="14"/>
    </row>
    <row r="605" spans="4:6" ht="13" hidden="1">
      <c r="D605" s="12"/>
      <c r="E605" s="13"/>
      <c r="F605" s="14"/>
    </row>
    <row r="606" spans="4:6" ht="13" hidden="1">
      <c r="D606" s="12"/>
      <c r="E606" s="13"/>
      <c r="F606" s="14"/>
    </row>
    <row r="607" spans="4:6" ht="13" hidden="1">
      <c r="D607" s="12"/>
      <c r="E607" s="13"/>
      <c r="F607" s="14"/>
    </row>
    <row r="608" spans="4:6" ht="13" hidden="1">
      <c r="D608" s="12"/>
      <c r="E608" s="13"/>
      <c r="F608" s="14"/>
    </row>
    <row r="609" spans="4:6" ht="13" hidden="1">
      <c r="D609" s="12"/>
      <c r="E609" s="13"/>
      <c r="F609" s="14"/>
    </row>
    <row r="610" spans="4:6" ht="13" hidden="1">
      <c r="D610" s="12"/>
      <c r="E610" s="13"/>
      <c r="F610" s="14"/>
    </row>
    <row r="611" spans="4:6" ht="13" hidden="1">
      <c r="D611" s="12"/>
      <c r="E611" s="13"/>
      <c r="F611" s="14"/>
    </row>
    <row r="612" spans="4:6" ht="13" hidden="1">
      <c r="D612" s="12"/>
      <c r="E612" s="13"/>
      <c r="F612" s="14"/>
    </row>
    <row r="613" spans="4:6" ht="13" hidden="1">
      <c r="D613" s="12"/>
      <c r="E613" s="13"/>
      <c r="F613" s="14"/>
    </row>
    <row r="614" spans="4:6" ht="13" hidden="1">
      <c r="D614" s="12"/>
      <c r="E614" s="13"/>
      <c r="F614" s="14"/>
    </row>
    <row r="615" spans="4:6" ht="13" hidden="1">
      <c r="D615" s="12"/>
      <c r="E615" s="13"/>
      <c r="F615" s="14"/>
    </row>
    <row r="616" spans="4:6" ht="13" hidden="1">
      <c r="D616" s="12"/>
      <c r="E616" s="13"/>
      <c r="F616" s="14"/>
    </row>
    <row r="617" spans="4:6" ht="13" hidden="1">
      <c r="D617" s="12"/>
      <c r="E617" s="13"/>
      <c r="F617" s="14"/>
    </row>
    <row r="618" spans="4:6" ht="13" hidden="1">
      <c r="D618" s="12"/>
      <c r="E618" s="13"/>
      <c r="F618" s="14"/>
    </row>
    <row r="619" spans="4:6" ht="13" hidden="1">
      <c r="D619" s="12"/>
      <c r="E619" s="13"/>
      <c r="F619" s="14"/>
    </row>
    <row r="620" spans="4:6" ht="13" hidden="1">
      <c r="D620" s="12"/>
      <c r="E620" s="13"/>
      <c r="F620" s="14"/>
    </row>
    <row r="621" spans="4:6" ht="13" hidden="1">
      <c r="D621" s="12"/>
      <c r="E621" s="13"/>
      <c r="F621" s="14"/>
    </row>
    <row r="622" spans="4:6" ht="13" hidden="1">
      <c r="D622" s="12"/>
      <c r="E622" s="13"/>
      <c r="F622" s="14"/>
    </row>
    <row r="623" spans="4:6" ht="13" hidden="1">
      <c r="D623" s="12"/>
      <c r="E623" s="13"/>
      <c r="F623" s="14"/>
    </row>
    <row r="624" spans="4:6" ht="13" hidden="1">
      <c r="D624" s="12"/>
      <c r="E624" s="13"/>
      <c r="F624" s="14"/>
    </row>
    <row r="625" spans="4:6" ht="13" hidden="1">
      <c r="D625" s="12"/>
      <c r="E625" s="13"/>
      <c r="F625" s="14"/>
    </row>
    <row r="626" spans="4:6" ht="13" hidden="1">
      <c r="D626" s="12"/>
      <c r="E626" s="13"/>
      <c r="F626" s="14"/>
    </row>
    <row r="627" spans="4:6" ht="13" hidden="1">
      <c r="D627" s="12"/>
      <c r="E627" s="13"/>
      <c r="F627" s="14"/>
    </row>
    <row r="628" spans="4:6" ht="13" hidden="1">
      <c r="D628" s="12"/>
      <c r="E628" s="13"/>
      <c r="F628" s="14"/>
    </row>
    <row r="629" spans="4:6" ht="13" hidden="1">
      <c r="D629" s="12"/>
      <c r="E629" s="13"/>
      <c r="F629" s="14"/>
    </row>
    <row r="630" spans="4:6" ht="13" hidden="1">
      <c r="D630" s="12"/>
      <c r="E630" s="13"/>
      <c r="F630" s="14"/>
    </row>
    <row r="631" spans="4:6" ht="13" hidden="1">
      <c r="D631" s="12"/>
      <c r="E631" s="13"/>
      <c r="F631" s="14"/>
    </row>
    <row r="632" spans="4:6" ht="13" hidden="1">
      <c r="D632" s="12"/>
      <c r="E632" s="13"/>
      <c r="F632" s="14"/>
    </row>
    <row r="633" spans="4:6" ht="13" hidden="1">
      <c r="D633" s="12"/>
      <c r="E633" s="13"/>
      <c r="F633" s="14"/>
    </row>
    <row r="634" spans="4:6" ht="13" hidden="1">
      <c r="D634" s="12"/>
      <c r="E634" s="13"/>
      <c r="F634" s="14"/>
    </row>
    <row r="635" spans="4:6" ht="13" hidden="1">
      <c r="D635" s="12"/>
      <c r="E635" s="13"/>
      <c r="F635" s="14"/>
    </row>
    <row r="636" spans="4:6" ht="13" hidden="1">
      <c r="D636" s="12"/>
      <c r="E636" s="13"/>
      <c r="F636" s="14"/>
    </row>
    <row r="637" spans="4:6" ht="13" hidden="1">
      <c r="D637" s="12"/>
      <c r="E637" s="13"/>
      <c r="F637" s="14"/>
    </row>
    <row r="638" spans="4:6" ht="13" hidden="1">
      <c r="D638" s="12"/>
      <c r="E638" s="13"/>
      <c r="F638" s="14"/>
    </row>
    <row r="639" spans="4:6" ht="13" hidden="1">
      <c r="D639" s="12"/>
      <c r="E639" s="13"/>
      <c r="F639" s="14"/>
    </row>
    <row r="640" spans="4:6" ht="13" hidden="1">
      <c r="D640" s="12"/>
      <c r="E640" s="13"/>
      <c r="F640" s="14"/>
    </row>
    <row r="641" spans="4:6" ht="13" hidden="1">
      <c r="D641" s="12"/>
      <c r="E641" s="13"/>
      <c r="F641" s="14"/>
    </row>
    <row r="642" spans="4:6" ht="13" hidden="1">
      <c r="D642" s="12"/>
      <c r="E642" s="13"/>
      <c r="F642" s="14"/>
    </row>
    <row r="643" spans="4:6" ht="13" hidden="1">
      <c r="D643" s="12"/>
      <c r="E643" s="13"/>
      <c r="F643" s="14"/>
    </row>
    <row r="644" spans="4:6" ht="13" hidden="1">
      <c r="D644" s="12"/>
      <c r="E644" s="13"/>
      <c r="F644" s="14"/>
    </row>
    <row r="645" spans="4:6" ht="13" hidden="1">
      <c r="D645" s="12"/>
      <c r="E645" s="13"/>
      <c r="F645" s="14"/>
    </row>
    <row r="646" spans="4:6" ht="13" hidden="1">
      <c r="D646" s="12"/>
      <c r="E646" s="13"/>
      <c r="F646" s="14"/>
    </row>
    <row r="647" spans="4:6" ht="13" hidden="1">
      <c r="D647" s="12"/>
      <c r="E647" s="13"/>
      <c r="F647" s="14"/>
    </row>
    <row r="648" spans="4:6" ht="13" hidden="1">
      <c r="D648" s="12"/>
      <c r="E648" s="13"/>
      <c r="F648" s="14"/>
    </row>
    <row r="649" spans="4:6" ht="13" hidden="1">
      <c r="D649" s="12"/>
      <c r="E649" s="13"/>
      <c r="F649" s="14"/>
    </row>
    <row r="650" spans="4:6" ht="13" hidden="1">
      <c r="D650" s="12"/>
      <c r="E650" s="13"/>
      <c r="F650" s="14"/>
    </row>
    <row r="651" spans="4:6" ht="13" hidden="1">
      <c r="D651" s="12"/>
      <c r="E651" s="13"/>
      <c r="F651" s="14"/>
    </row>
    <row r="652" spans="4:6" ht="13" hidden="1">
      <c r="D652" s="12"/>
      <c r="E652" s="13"/>
      <c r="F652" s="14"/>
    </row>
    <row r="653" spans="4:6" ht="13" hidden="1">
      <c r="D653" s="12"/>
      <c r="E653" s="13"/>
      <c r="F653" s="14"/>
    </row>
    <row r="654" spans="4:6" ht="13" hidden="1">
      <c r="D654" s="12"/>
      <c r="E654" s="13"/>
      <c r="F654" s="14"/>
    </row>
    <row r="655" spans="4:6" ht="13" hidden="1">
      <c r="D655" s="12"/>
      <c r="E655" s="13"/>
      <c r="F655" s="14"/>
    </row>
    <row r="656" spans="4:6" ht="13" hidden="1">
      <c r="D656" s="12"/>
      <c r="E656" s="13"/>
      <c r="F656" s="14"/>
    </row>
    <row r="657" spans="4:6" ht="13" hidden="1">
      <c r="D657" s="12"/>
      <c r="E657" s="13"/>
      <c r="F657" s="14"/>
    </row>
    <row r="658" spans="4:6" ht="13" hidden="1">
      <c r="D658" s="12"/>
      <c r="E658" s="13"/>
      <c r="F658" s="14"/>
    </row>
    <row r="659" spans="4:6" ht="13" hidden="1">
      <c r="D659" s="12"/>
      <c r="E659" s="13"/>
      <c r="F659" s="14"/>
    </row>
    <row r="660" spans="4:6" ht="13" hidden="1">
      <c r="D660" s="12"/>
      <c r="E660" s="13"/>
      <c r="F660" s="14"/>
    </row>
    <row r="661" spans="4:6" ht="13" hidden="1">
      <c r="D661" s="12"/>
      <c r="E661" s="13"/>
      <c r="F661" s="14"/>
    </row>
    <row r="662" spans="4:6" ht="13" hidden="1">
      <c r="D662" s="12"/>
      <c r="E662" s="13"/>
      <c r="F662" s="14"/>
    </row>
    <row r="663" spans="4:6" ht="13" hidden="1">
      <c r="D663" s="12"/>
      <c r="E663" s="13"/>
      <c r="F663" s="14"/>
    </row>
    <row r="664" spans="4:6" ht="13" hidden="1">
      <c r="D664" s="12"/>
      <c r="E664" s="13"/>
      <c r="F664" s="14"/>
    </row>
    <row r="665" spans="4:6" ht="13" hidden="1">
      <c r="D665" s="12"/>
      <c r="E665" s="13"/>
      <c r="F665" s="14"/>
    </row>
    <row r="666" spans="4:6" ht="13" hidden="1">
      <c r="D666" s="12"/>
      <c r="E666" s="13"/>
      <c r="F666" s="14"/>
    </row>
    <row r="667" spans="4:6" ht="13" hidden="1">
      <c r="D667" s="12"/>
      <c r="E667" s="13"/>
      <c r="F667" s="14"/>
    </row>
    <row r="668" spans="4:6" ht="13" hidden="1">
      <c r="D668" s="12"/>
      <c r="E668" s="13"/>
      <c r="F668" s="14"/>
    </row>
    <row r="669" spans="4:6" ht="13" hidden="1">
      <c r="D669" s="12"/>
      <c r="E669" s="13"/>
      <c r="F669" s="14"/>
    </row>
    <row r="670" spans="4:6" ht="13" hidden="1">
      <c r="D670" s="12"/>
      <c r="E670" s="13"/>
      <c r="F670" s="14"/>
    </row>
    <row r="671" spans="4:6" ht="13" hidden="1">
      <c r="D671" s="12"/>
      <c r="E671" s="13"/>
      <c r="F671" s="14"/>
    </row>
    <row r="672" spans="4:6" ht="13" hidden="1">
      <c r="D672" s="12"/>
      <c r="E672" s="13"/>
      <c r="F672" s="14"/>
    </row>
    <row r="673" spans="4:6" ht="13" hidden="1">
      <c r="D673" s="12"/>
      <c r="E673" s="13"/>
      <c r="F673" s="14"/>
    </row>
    <row r="674" spans="4:6" ht="13" hidden="1">
      <c r="D674" s="12"/>
      <c r="E674" s="13"/>
      <c r="F674" s="14"/>
    </row>
    <row r="675" spans="4:6" ht="13" hidden="1">
      <c r="D675" s="12"/>
      <c r="E675" s="13"/>
      <c r="F675" s="14"/>
    </row>
    <row r="676" spans="4:6" ht="13" hidden="1">
      <c r="D676" s="12"/>
      <c r="E676" s="13"/>
      <c r="F676" s="14"/>
    </row>
    <row r="677" spans="4:6" ht="13" hidden="1">
      <c r="D677" s="12"/>
      <c r="E677" s="13"/>
      <c r="F677" s="14"/>
    </row>
    <row r="678" spans="4:6" ht="13" hidden="1">
      <c r="D678" s="12"/>
      <c r="E678" s="13"/>
      <c r="F678" s="14"/>
    </row>
    <row r="679" spans="4:6" ht="13" hidden="1">
      <c r="D679" s="12"/>
      <c r="E679" s="13"/>
      <c r="F679" s="14"/>
    </row>
    <row r="680" spans="4:6" ht="13" hidden="1">
      <c r="D680" s="12"/>
      <c r="E680" s="13"/>
      <c r="F680" s="14"/>
    </row>
    <row r="681" spans="4:6" ht="13" hidden="1">
      <c r="D681" s="12"/>
      <c r="E681" s="13"/>
      <c r="F681" s="14"/>
    </row>
    <row r="682" spans="4:6" ht="13" hidden="1">
      <c r="D682" s="12"/>
      <c r="E682" s="13"/>
      <c r="F682" s="14"/>
    </row>
    <row r="683" spans="4:6" ht="13" hidden="1">
      <c r="D683" s="12"/>
      <c r="E683" s="13"/>
      <c r="F683" s="14"/>
    </row>
    <row r="684" spans="4:6" ht="13" hidden="1">
      <c r="D684" s="12"/>
      <c r="E684" s="13"/>
      <c r="F684" s="14"/>
    </row>
    <row r="685" spans="4:6" ht="13" hidden="1">
      <c r="D685" s="12"/>
      <c r="E685" s="13"/>
      <c r="F685" s="14"/>
    </row>
    <row r="686" spans="4:6" ht="13" hidden="1">
      <c r="D686" s="12"/>
      <c r="E686" s="13"/>
      <c r="F686" s="14"/>
    </row>
    <row r="687" spans="4:6" ht="13" hidden="1">
      <c r="D687" s="12"/>
      <c r="E687" s="13"/>
      <c r="F687" s="14"/>
    </row>
    <row r="688" spans="4:6" ht="13" hidden="1">
      <c r="D688" s="12"/>
      <c r="E688" s="13"/>
      <c r="F688" s="14"/>
    </row>
    <row r="689" spans="4:6" ht="13" hidden="1">
      <c r="D689" s="12"/>
      <c r="E689" s="13"/>
      <c r="F689" s="14"/>
    </row>
    <row r="690" spans="4:6" ht="13" hidden="1">
      <c r="D690" s="12"/>
      <c r="E690" s="13"/>
      <c r="F690" s="14"/>
    </row>
    <row r="691" spans="4:6" ht="13" hidden="1">
      <c r="D691" s="12"/>
      <c r="E691" s="13"/>
      <c r="F691" s="14"/>
    </row>
    <row r="692" spans="4:6" ht="13" hidden="1">
      <c r="D692" s="12"/>
      <c r="E692" s="13"/>
      <c r="F692" s="14"/>
    </row>
    <row r="693" spans="4:6" ht="13" hidden="1">
      <c r="D693" s="12"/>
      <c r="E693" s="13"/>
      <c r="F693" s="14"/>
    </row>
    <row r="694" spans="4:6" ht="13" hidden="1">
      <c r="D694" s="12"/>
      <c r="E694" s="13"/>
      <c r="F694" s="14"/>
    </row>
    <row r="695" spans="4:6" ht="13" hidden="1">
      <c r="D695" s="12"/>
      <c r="E695" s="13"/>
      <c r="F695" s="14"/>
    </row>
    <row r="696" spans="4:6" ht="13" hidden="1">
      <c r="D696" s="12"/>
      <c r="E696" s="13"/>
      <c r="F696" s="14"/>
    </row>
    <row r="697" spans="4:6" ht="13" hidden="1">
      <c r="D697" s="12"/>
      <c r="E697" s="13"/>
      <c r="F697" s="14"/>
    </row>
    <row r="698" spans="4:6" ht="13" hidden="1">
      <c r="D698" s="12"/>
      <c r="E698" s="13"/>
      <c r="F698" s="14"/>
    </row>
    <row r="699" spans="4:6" ht="13" hidden="1">
      <c r="D699" s="12"/>
      <c r="E699" s="13"/>
      <c r="F699" s="14"/>
    </row>
    <row r="700" spans="4:6" ht="13" hidden="1">
      <c r="D700" s="12"/>
      <c r="E700" s="13"/>
      <c r="F700" s="14"/>
    </row>
    <row r="701" spans="4:6" ht="13" hidden="1">
      <c r="D701" s="12"/>
      <c r="E701" s="13"/>
      <c r="F701" s="14"/>
    </row>
    <row r="702" spans="4:6" ht="13" hidden="1">
      <c r="D702" s="12"/>
      <c r="E702" s="13"/>
      <c r="F702" s="14"/>
    </row>
    <row r="703" spans="4:6" ht="13" hidden="1">
      <c r="D703" s="12"/>
      <c r="E703" s="13"/>
      <c r="F703" s="14"/>
    </row>
    <row r="704" spans="4:6" ht="13" hidden="1">
      <c r="D704" s="12"/>
      <c r="E704" s="13"/>
      <c r="F704" s="14"/>
    </row>
    <row r="705" spans="4:6" ht="13" hidden="1">
      <c r="D705" s="12"/>
      <c r="E705" s="13"/>
      <c r="F705" s="14"/>
    </row>
    <row r="706" spans="4:6" ht="13" hidden="1">
      <c r="D706" s="12"/>
      <c r="E706" s="13"/>
      <c r="F706" s="14"/>
    </row>
    <row r="707" spans="4:6" ht="13" hidden="1">
      <c r="D707" s="12"/>
      <c r="E707" s="13"/>
      <c r="F707" s="14"/>
    </row>
    <row r="708" spans="4:6" ht="13" hidden="1">
      <c r="D708" s="12"/>
      <c r="E708" s="13"/>
      <c r="F708" s="14"/>
    </row>
    <row r="709" spans="4:6" ht="13" hidden="1">
      <c r="D709" s="12"/>
      <c r="E709" s="13"/>
      <c r="F709" s="14"/>
    </row>
    <row r="710" spans="4:6" ht="13" hidden="1">
      <c r="D710" s="12"/>
      <c r="E710" s="13"/>
      <c r="F710" s="14"/>
    </row>
    <row r="711" spans="4:6" ht="13" hidden="1">
      <c r="D711" s="12"/>
      <c r="E711" s="13"/>
      <c r="F711" s="14"/>
    </row>
    <row r="712" spans="4:6" ht="13" hidden="1">
      <c r="D712" s="12"/>
      <c r="E712" s="13"/>
      <c r="F712" s="14"/>
    </row>
    <row r="713" spans="4:6" ht="13" hidden="1">
      <c r="D713" s="12"/>
      <c r="E713" s="13"/>
      <c r="F713" s="14"/>
    </row>
    <row r="714" spans="4:6" ht="13" hidden="1">
      <c r="D714" s="12"/>
      <c r="E714" s="13"/>
      <c r="F714" s="14"/>
    </row>
    <row r="715" spans="4:6" ht="13" hidden="1">
      <c r="D715" s="12"/>
      <c r="E715" s="13"/>
      <c r="F715" s="14"/>
    </row>
    <row r="716" spans="4:6" ht="13" hidden="1">
      <c r="D716" s="12"/>
      <c r="E716" s="13"/>
      <c r="F716" s="14"/>
    </row>
    <row r="717" spans="4:6" ht="13" hidden="1">
      <c r="D717" s="12"/>
      <c r="E717" s="13"/>
      <c r="F717" s="14"/>
    </row>
    <row r="718" spans="4:6" ht="13" hidden="1">
      <c r="D718" s="12"/>
      <c r="E718" s="13"/>
      <c r="F718" s="14"/>
    </row>
    <row r="719" spans="4:6" ht="13" hidden="1">
      <c r="D719" s="12"/>
      <c r="E719" s="13"/>
      <c r="F719" s="14"/>
    </row>
    <row r="720" spans="4:6" ht="13" hidden="1">
      <c r="D720" s="12"/>
      <c r="E720" s="13"/>
      <c r="F720" s="14"/>
    </row>
    <row r="721" spans="4:6" ht="13" hidden="1">
      <c r="D721" s="12"/>
      <c r="E721" s="13"/>
      <c r="F721" s="14"/>
    </row>
    <row r="722" spans="4:6" ht="13" hidden="1">
      <c r="D722" s="12"/>
      <c r="E722" s="13"/>
      <c r="F722" s="14"/>
    </row>
    <row r="723" spans="4:6" ht="13" hidden="1">
      <c r="D723" s="12"/>
      <c r="E723" s="13"/>
      <c r="F723" s="14"/>
    </row>
    <row r="724" spans="4:6" ht="13" hidden="1">
      <c r="D724" s="12"/>
      <c r="E724" s="13"/>
      <c r="F724" s="14"/>
    </row>
    <row r="725" spans="4:6" ht="13" hidden="1">
      <c r="D725" s="12"/>
      <c r="E725" s="13"/>
      <c r="F725" s="14"/>
    </row>
    <row r="726" spans="4:6" ht="13" hidden="1">
      <c r="D726" s="12"/>
      <c r="E726" s="13"/>
      <c r="F726" s="14"/>
    </row>
    <row r="727" spans="4:6" ht="13" hidden="1">
      <c r="D727" s="12"/>
      <c r="E727" s="13"/>
      <c r="F727" s="14"/>
    </row>
    <row r="728" spans="4:6" ht="13" hidden="1">
      <c r="D728" s="12"/>
      <c r="E728" s="13"/>
      <c r="F728" s="14"/>
    </row>
    <row r="729" spans="4:6" ht="13" hidden="1">
      <c r="D729" s="12"/>
      <c r="E729" s="13"/>
      <c r="F729" s="14"/>
    </row>
    <row r="730" spans="4:6" ht="13" hidden="1">
      <c r="D730" s="12"/>
      <c r="E730" s="13"/>
      <c r="F730" s="14"/>
    </row>
    <row r="731" spans="4:6" ht="13" hidden="1">
      <c r="D731" s="12"/>
      <c r="E731" s="13"/>
      <c r="F731" s="14"/>
    </row>
    <row r="732" spans="4:6" ht="13" hidden="1">
      <c r="D732" s="12"/>
      <c r="E732" s="13"/>
      <c r="F732" s="14"/>
    </row>
    <row r="733" spans="4:6" ht="13" hidden="1">
      <c r="D733" s="12"/>
      <c r="E733" s="13"/>
      <c r="F733" s="14"/>
    </row>
    <row r="734" spans="4:6" ht="13" hidden="1">
      <c r="D734" s="12"/>
      <c r="E734" s="13"/>
      <c r="F734" s="14"/>
    </row>
    <row r="735" spans="4:6" ht="13" hidden="1">
      <c r="D735" s="12"/>
      <c r="E735" s="13"/>
      <c r="F735" s="14"/>
    </row>
    <row r="736" spans="4:6" ht="13" hidden="1">
      <c r="D736" s="12"/>
      <c r="E736" s="13"/>
      <c r="F736" s="14"/>
    </row>
    <row r="737" spans="4:6" ht="13" hidden="1">
      <c r="D737" s="12"/>
      <c r="E737" s="13"/>
      <c r="F737" s="14"/>
    </row>
    <row r="738" spans="4:6" ht="13" hidden="1">
      <c r="D738" s="12"/>
      <c r="E738" s="13"/>
      <c r="F738" s="14"/>
    </row>
    <row r="739" spans="4:6" ht="13" hidden="1">
      <c r="D739" s="12"/>
      <c r="E739" s="13"/>
      <c r="F739" s="14"/>
    </row>
    <row r="740" spans="4:6" ht="13" hidden="1">
      <c r="D740" s="12"/>
      <c r="E740" s="13"/>
      <c r="F740" s="14"/>
    </row>
    <row r="741" spans="4:6" ht="13" hidden="1">
      <c r="D741" s="12"/>
      <c r="E741" s="13"/>
      <c r="F741" s="14"/>
    </row>
    <row r="742" spans="4:6" ht="13" hidden="1">
      <c r="D742" s="12"/>
      <c r="E742" s="13"/>
      <c r="F742" s="14"/>
    </row>
    <row r="743" spans="4:6" ht="13" hidden="1">
      <c r="D743" s="12"/>
      <c r="E743" s="13"/>
      <c r="F743" s="14"/>
    </row>
    <row r="744" spans="4:6" ht="13" hidden="1">
      <c r="D744" s="12"/>
      <c r="E744" s="13"/>
      <c r="F744" s="14"/>
    </row>
    <row r="745" spans="4:6" ht="13" hidden="1">
      <c r="D745" s="12"/>
      <c r="E745" s="13"/>
      <c r="F745" s="14"/>
    </row>
    <row r="746" spans="4:6" ht="13" hidden="1">
      <c r="D746" s="12"/>
      <c r="E746" s="13"/>
      <c r="F746" s="14"/>
    </row>
    <row r="747" spans="4:6" ht="13" hidden="1">
      <c r="D747" s="12"/>
      <c r="E747" s="13"/>
      <c r="F747" s="14"/>
    </row>
    <row r="748" spans="4:6" ht="13" hidden="1">
      <c r="D748" s="12"/>
      <c r="E748" s="13"/>
      <c r="F748" s="14"/>
    </row>
    <row r="749" spans="4:6" ht="13" hidden="1">
      <c r="D749" s="12"/>
      <c r="E749" s="13"/>
      <c r="F749" s="14"/>
    </row>
    <row r="750" spans="4:6" ht="13" hidden="1">
      <c r="D750" s="12"/>
      <c r="E750" s="13"/>
      <c r="F750" s="14"/>
    </row>
    <row r="751" spans="4:6" ht="13" hidden="1">
      <c r="D751" s="12"/>
      <c r="E751" s="13"/>
      <c r="F751" s="14"/>
    </row>
    <row r="752" spans="4:6" ht="13" hidden="1">
      <c r="D752" s="12"/>
      <c r="E752" s="13"/>
      <c r="F752" s="14"/>
    </row>
    <row r="753" spans="4:6" ht="13" hidden="1">
      <c r="D753" s="12"/>
      <c r="E753" s="13"/>
      <c r="F753" s="14"/>
    </row>
    <row r="754" spans="4:6" ht="13" hidden="1">
      <c r="D754" s="12"/>
      <c r="E754" s="13"/>
      <c r="F754" s="14"/>
    </row>
    <row r="755" spans="4:6" ht="13" hidden="1">
      <c r="D755" s="12"/>
      <c r="E755" s="13"/>
      <c r="F755" s="14"/>
    </row>
    <row r="756" spans="4:6" ht="13" hidden="1">
      <c r="D756" s="12"/>
      <c r="E756" s="13"/>
      <c r="F756" s="14"/>
    </row>
    <row r="757" spans="4:6" ht="13" hidden="1">
      <c r="D757" s="12"/>
      <c r="E757" s="13"/>
      <c r="F757" s="14"/>
    </row>
    <row r="758" spans="4:6" ht="13" hidden="1">
      <c r="D758" s="12"/>
      <c r="E758" s="13"/>
      <c r="F758" s="14"/>
    </row>
    <row r="759" spans="4:6" ht="13" hidden="1">
      <c r="D759" s="12"/>
      <c r="E759" s="13"/>
      <c r="F759" s="14"/>
    </row>
    <row r="760" spans="4:6" ht="13" hidden="1">
      <c r="D760" s="12"/>
      <c r="E760" s="13"/>
      <c r="F760" s="14"/>
    </row>
    <row r="761" spans="4:6" ht="13" hidden="1">
      <c r="D761" s="12"/>
      <c r="E761" s="13"/>
      <c r="F761" s="14"/>
    </row>
    <row r="762" spans="4:6" ht="13" hidden="1">
      <c r="D762" s="12"/>
      <c r="E762" s="13"/>
      <c r="F762" s="14"/>
    </row>
    <row r="763" spans="4:6" ht="13" hidden="1">
      <c r="D763" s="12"/>
      <c r="E763" s="13"/>
      <c r="F763" s="14"/>
    </row>
    <row r="764" spans="4:6" ht="13" hidden="1">
      <c r="D764" s="12"/>
      <c r="E764" s="13"/>
      <c r="F764" s="14"/>
    </row>
    <row r="765" spans="4:6" ht="13" hidden="1">
      <c r="D765" s="12"/>
      <c r="E765" s="13"/>
      <c r="F765" s="14"/>
    </row>
    <row r="766" spans="4:6" ht="13" hidden="1">
      <c r="D766" s="12"/>
      <c r="E766" s="13"/>
      <c r="F766" s="14"/>
    </row>
    <row r="767" spans="4:6" ht="13" hidden="1">
      <c r="D767" s="12"/>
      <c r="E767" s="13"/>
      <c r="F767" s="14"/>
    </row>
    <row r="768" spans="4:6" ht="13" hidden="1">
      <c r="D768" s="12"/>
      <c r="E768" s="13"/>
      <c r="F768" s="14"/>
    </row>
    <row r="769" spans="4:6" ht="13" hidden="1">
      <c r="D769" s="12"/>
      <c r="E769" s="13"/>
      <c r="F769" s="14"/>
    </row>
    <row r="770" spans="4:6" ht="13" hidden="1">
      <c r="D770" s="12"/>
      <c r="E770" s="13"/>
      <c r="F770" s="14"/>
    </row>
    <row r="771" spans="4:6" ht="13" hidden="1">
      <c r="D771" s="12"/>
      <c r="E771" s="13"/>
      <c r="F771" s="14"/>
    </row>
    <row r="772" spans="4:6" ht="13" hidden="1">
      <c r="D772" s="12"/>
      <c r="E772" s="13"/>
      <c r="F772" s="14"/>
    </row>
    <row r="773" spans="4:6" ht="13" hidden="1">
      <c r="D773" s="12"/>
      <c r="E773" s="13"/>
      <c r="F773" s="14"/>
    </row>
    <row r="774" spans="4:6" ht="13" hidden="1">
      <c r="D774" s="12"/>
      <c r="E774" s="13"/>
      <c r="F774" s="14"/>
    </row>
    <row r="775" spans="4:6" ht="13" hidden="1">
      <c r="D775" s="12"/>
      <c r="E775" s="13"/>
      <c r="F775" s="14"/>
    </row>
    <row r="776" spans="4:6" ht="13" hidden="1">
      <c r="D776" s="12"/>
      <c r="E776" s="13"/>
      <c r="F776" s="14"/>
    </row>
    <row r="777" spans="4:6" ht="13" hidden="1">
      <c r="D777" s="12"/>
      <c r="E777" s="13"/>
      <c r="F777" s="14"/>
    </row>
    <row r="778" spans="4:6" ht="13" hidden="1">
      <c r="D778" s="12"/>
      <c r="E778" s="13"/>
      <c r="F778" s="14"/>
    </row>
    <row r="779" spans="4:6" ht="13" hidden="1">
      <c r="D779" s="12"/>
      <c r="E779" s="13"/>
      <c r="F779" s="14"/>
    </row>
    <row r="780" spans="4:6" ht="13" hidden="1">
      <c r="D780" s="12"/>
      <c r="E780" s="13"/>
      <c r="F780" s="14"/>
    </row>
    <row r="781" spans="4:6" ht="13" hidden="1">
      <c r="D781" s="12"/>
      <c r="E781" s="13"/>
      <c r="F781" s="14"/>
    </row>
    <row r="782" spans="4:6" ht="13" hidden="1">
      <c r="D782" s="12"/>
      <c r="E782" s="13"/>
      <c r="F782" s="14"/>
    </row>
    <row r="783" spans="4:6" ht="13" hidden="1">
      <c r="D783" s="12"/>
      <c r="E783" s="13"/>
      <c r="F783" s="14"/>
    </row>
    <row r="784" spans="4:6" ht="13" hidden="1">
      <c r="D784" s="12"/>
      <c r="E784" s="13"/>
      <c r="F784" s="14"/>
    </row>
    <row r="785" spans="4:6" ht="13" hidden="1">
      <c r="D785" s="12"/>
      <c r="E785" s="13"/>
      <c r="F785" s="14"/>
    </row>
    <row r="786" spans="4:6" ht="13" hidden="1">
      <c r="D786" s="12"/>
      <c r="E786" s="13"/>
      <c r="F786" s="14"/>
    </row>
    <row r="787" spans="4:6" ht="13" hidden="1">
      <c r="D787" s="12"/>
      <c r="E787" s="13"/>
      <c r="F787" s="14"/>
    </row>
    <row r="788" spans="4:6" ht="13" hidden="1">
      <c r="D788" s="12"/>
      <c r="E788" s="13"/>
      <c r="F788" s="14"/>
    </row>
    <row r="789" spans="4:6" ht="13" hidden="1">
      <c r="D789" s="12"/>
      <c r="E789" s="13"/>
      <c r="F789" s="14"/>
    </row>
    <row r="790" spans="4:6" ht="13" hidden="1">
      <c r="D790" s="12"/>
      <c r="E790" s="13"/>
      <c r="F790" s="14"/>
    </row>
    <row r="791" spans="4:6" ht="13" hidden="1">
      <c r="D791" s="12"/>
      <c r="E791" s="13"/>
      <c r="F791" s="14"/>
    </row>
    <row r="792" spans="4:6" ht="13" hidden="1">
      <c r="D792" s="12"/>
      <c r="E792" s="13"/>
      <c r="F792" s="14"/>
    </row>
    <row r="793" spans="4:6" ht="13" hidden="1">
      <c r="D793" s="12"/>
      <c r="E793" s="13"/>
      <c r="F793" s="14"/>
    </row>
    <row r="794" spans="4:6" ht="13" hidden="1">
      <c r="D794" s="12"/>
      <c r="E794" s="13"/>
      <c r="F794" s="14"/>
    </row>
    <row r="795" spans="4:6" ht="13" hidden="1">
      <c r="D795" s="12"/>
      <c r="E795" s="13"/>
      <c r="F795" s="14"/>
    </row>
    <row r="796" spans="4:6" ht="13" hidden="1">
      <c r="D796" s="12"/>
      <c r="E796" s="13"/>
      <c r="F796" s="14"/>
    </row>
    <row r="797" spans="4:6" ht="13" hidden="1">
      <c r="D797" s="12"/>
      <c r="E797" s="13"/>
      <c r="F797" s="14"/>
    </row>
    <row r="798" spans="4:6" ht="13" hidden="1">
      <c r="D798" s="12"/>
      <c r="E798" s="13"/>
      <c r="F798" s="14"/>
    </row>
    <row r="799" spans="4:6" ht="13" hidden="1">
      <c r="D799" s="12"/>
      <c r="E799" s="13"/>
      <c r="F799" s="14"/>
    </row>
    <row r="800" spans="4:6" ht="13" hidden="1">
      <c r="D800" s="12"/>
      <c r="E800" s="13"/>
      <c r="F800" s="14"/>
    </row>
    <row r="801" spans="4:6" ht="13" hidden="1">
      <c r="D801" s="12"/>
      <c r="E801" s="13"/>
      <c r="F801" s="14"/>
    </row>
    <row r="802" spans="4:6" ht="13" hidden="1">
      <c r="D802" s="12"/>
      <c r="E802" s="13"/>
      <c r="F802" s="14"/>
    </row>
    <row r="803" spans="4:6" ht="13" hidden="1">
      <c r="D803" s="12"/>
      <c r="E803" s="13"/>
      <c r="F803" s="14"/>
    </row>
    <row r="804" spans="4:6" ht="13" hidden="1">
      <c r="D804" s="12"/>
      <c r="E804" s="13"/>
      <c r="F804" s="14"/>
    </row>
    <row r="805" spans="4:6" ht="13" hidden="1">
      <c r="D805" s="12"/>
      <c r="E805" s="13"/>
      <c r="F805" s="14"/>
    </row>
    <row r="806" spans="4:6" ht="13" hidden="1">
      <c r="D806" s="12"/>
      <c r="E806" s="13"/>
      <c r="F806" s="14"/>
    </row>
    <row r="807" spans="4:6" ht="13" hidden="1">
      <c r="D807" s="12"/>
      <c r="E807" s="13"/>
      <c r="F807" s="14"/>
    </row>
    <row r="808" spans="4:6" ht="13" hidden="1">
      <c r="D808" s="12"/>
      <c r="E808" s="13"/>
      <c r="F808" s="14"/>
    </row>
    <row r="809" spans="4:6" ht="13" hidden="1">
      <c r="D809" s="12"/>
      <c r="E809" s="13"/>
      <c r="F809" s="14"/>
    </row>
    <row r="810" spans="4:6" ht="13" hidden="1">
      <c r="D810" s="12"/>
      <c r="E810" s="13"/>
      <c r="F810" s="14"/>
    </row>
    <row r="811" spans="4:6" ht="13" hidden="1">
      <c r="D811" s="12"/>
      <c r="E811" s="13"/>
      <c r="F811" s="14"/>
    </row>
    <row r="812" spans="4:6" ht="13" hidden="1">
      <c r="D812" s="12"/>
      <c r="E812" s="13"/>
      <c r="F812" s="14"/>
    </row>
    <row r="813" spans="4:6" ht="13" hidden="1">
      <c r="D813" s="12"/>
      <c r="E813" s="13"/>
      <c r="F813" s="14"/>
    </row>
    <row r="814" spans="4:6" ht="13" hidden="1">
      <c r="D814" s="12"/>
      <c r="E814" s="13"/>
      <c r="F814" s="14"/>
    </row>
    <row r="815" spans="4:6" ht="13" hidden="1">
      <c r="D815" s="12"/>
      <c r="E815" s="13"/>
      <c r="F815" s="14"/>
    </row>
    <row r="816" spans="4:6" ht="13" hidden="1">
      <c r="D816" s="12"/>
      <c r="E816" s="13"/>
      <c r="F816" s="14"/>
    </row>
    <row r="817" spans="4:6" ht="13" hidden="1">
      <c r="D817" s="12"/>
      <c r="E817" s="13"/>
      <c r="F817" s="14"/>
    </row>
    <row r="818" spans="4:6" ht="13" hidden="1">
      <c r="D818" s="12"/>
      <c r="E818" s="13"/>
      <c r="F818" s="14"/>
    </row>
    <row r="819" spans="4:6" ht="13" hidden="1">
      <c r="D819" s="12"/>
      <c r="E819" s="13"/>
      <c r="F819" s="14"/>
    </row>
    <row r="820" spans="4:6" ht="13" hidden="1">
      <c r="D820" s="12"/>
      <c r="E820" s="13"/>
      <c r="F820" s="14"/>
    </row>
    <row r="821" spans="4:6" ht="13" hidden="1">
      <c r="D821" s="12"/>
      <c r="E821" s="13"/>
      <c r="F821" s="14"/>
    </row>
    <row r="822" spans="4:6" ht="13" hidden="1">
      <c r="D822" s="12"/>
      <c r="E822" s="13"/>
      <c r="F822" s="14"/>
    </row>
    <row r="823" spans="4:6" ht="13" hidden="1">
      <c r="D823" s="12"/>
      <c r="E823" s="13"/>
      <c r="F823" s="14"/>
    </row>
    <row r="824" spans="4:6" ht="13" hidden="1">
      <c r="D824" s="12"/>
      <c r="E824" s="13"/>
      <c r="F824" s="14"/>
    </row>
    <row r="825" spans="4:6" ht="13" hidden="1">
      <c r="D825" s="12"/>
      <c r="E825" s="13"/>
      <c r="F825" s="14"/>
    </row>
    <row r="826" spans="4:6" ht="13" hidden="1">
      <c r="D826" s="12"/>
      <c r="E826" s="13"/>
      <c r="F826" s="14"/>
    </row>
    <row r="827" spans="4:6" ht="13" hidden="1">
      <c r="D827" s="12"/>
      <c r="E827" s="13"/>
      <c r="F827" s="14"/>
    </row>
    <row r="828" spans="4:6" ht="13" hidden="1">
      <c r="D828" s="12"/>
      <c r="E828" s="13"/>
      <c r="F828" s="14"/>
    </row>
    <row r="829" spans="4:6" ht="13" hidden="1">
      <c r="D829" s="12"/>
      <c r="E829" s="13"/>
      <c r="F829" s="14"/>
    </row>
    <row r="830" spans="4:6" ht="13" hidden="1">
      <c r="D830" s="12"/>
      <c r="E830" s="13"/>
      <c r="F830" s="14"/>
    </row>
    <row r="831" spans="4:6" ht="13" hidden="1">
      <c r="D831" s="12"/>
      <c r="E831" s="13"/>
      <c r="F831" s="14"/>
    </row>
    <row r="832" spans="4:6" ht="13" hidden="1">
      <c r="D832" s="12"/>
      <c r="E832" s="13"/>
      <c r="F832" s="14"/>
    </row>
    <row r="833" spans="4:6" ht="13" hidden="1">
      <c r="D833" s="12"/>
      <c r="E833" s="13"/>
      <c r="F833" s="14"/>
    </row>
    <row r="834" spans="4:6" ht="13" hidden="1">
      <c r="D834" s="12"/>
      <c r="E834" s="13"/>
      <c r="F834" s="14"/>
    </row>
    <row r="835" spans="4:6" ht="13" hidden="1">
      <c r="D835" s="12"/>
      <c r="E835" s="13"/>
      <c r="F835" s="14"/>
    </row>
    <row r="836" spans="4:6" ht="13" hidden="1">
      <c r="D836" s="12"/>
      <c r="E836" s="13"/>
      <c r="F836" s="14"/>
    </row>
    <row r="837" spans="4:6" ht="13" hidden="1">
      <c r="D837" s="12"/>
      <c r="E837" s="13"/>
      <c r="F837" s="14"/>
    </row>
    <row r="838" spans="4:6" ht="13" hidden="1">
      <c r="D838" s="12"/>
      <c r="E838" s="13"/>
      <c r="F838" s="14"/>
    </row>
    <row r="839" spans="4:6" ht="13" hidden="1">
      <c r="D839" s="12"/>
      <c r="E839" s="13"/>
      <c r="F839" s="14"/>
    </row>
    <row r="840" spans="4:6" ht="13" hidden="1">
      <c r="D840" s="12"/>
      <c r="E840" s="13"/>
      <c r="F840" s="14"/>
    </row>
    <row r="841" spans="4:6" ht="13" hidden="1">
      <c r="D841" s="12"/>
      <c r="E841" s="13"/>
      <c r="F841" s="14"/>
    </row>
    <row r="842" spans="4:6" ht="13" hidden="1">
      <c r="D842" s="12"/>
      <c r="E842" s="13"/>
      <c r="F842" s="14"/>
    </row>
    <row r="843" spans="4:6" ht="13" hidden="1">
      <c r="D843" s="12"/>
      <c r="E843" s="13"/>
      <c r="F843" s="14"/>
    </row>
    <row r="844" spans="4:6" ht="13" hidden="1">
      <c r="D844" s="12"/>
      <c r="E844" s="13"/>
      <c r="F844" s="14"/>
    </row>
    <row r="845" spans="4:6" ht="13" hidden="1">
      <c r="D845" s="12"/>
      <c r="E845" s="13"/>
      <c r="F845" s="14"/>
    </row>
    <row r="846" spans="4:6" ht="13" hidden="1">
      <c r="D846" s="12"/>
      <c r="E846" s="13"/>
      <c r="F846" s="14"/>
    </row>
    <row r="847" spans="4:6" ht="13" hidden="1">
      <c r="D847" s="12"/>
      <c r="E847" s="13"/>
      <c r="F847" s="14"/>
    </row>
    <row r="848" spans="4:6" ht="13" hidden="1">
      <c r="D848" s="12"/>
      <c r="E848" s="13"/>
      <c r="F848" s="14"/>
    </row>
    <row r="849" spans="4:6" ht="13" hidden="1">
      <c r="D849" s="12"/>
      <c r="E849" s="13"/>
      <c r="F849" s="14"/>
    </row>
    <row r="850" spans="4:6" ht="13" hidden="1">
      <c r="D850" s="12"/>
      <c r="E850" s="13"/>
      <c r="F850" s="14"/>
    </row>
    <row r="851" spans="4:6" ht="13" hidden="1">
      <c r="D851" s="12"/>
      <c r="E851" s="13"/>
      <c r="F851" s="14"/>
    </row>
    <row r="852" spans="4:6" ht="13" hidden="1">
      <c r="D852" s="12"/>
      <c r="E852" s="13"/>
      <c r="F852" s="14"/>
    </row>
    <row r="853" spans="4:6" ht="13" hidden="1">
      <c r="D853" s="12"/>
      <c r="E853" s="13"/>
      <c r="F853" s="14"/>
    </row>
    <row r="854" spans="4:6" ht="13" hidden="1">
      <c r="D854" s="12"/>
      <c r="E854" s="13"/>
      <c r="F854" s="14"/>
    </row>
    <row r="855" spans="4:6" ht="13" hidden="1">
      <c r="D855" s="12"/>
      <c r="E855" s="13"/>
      <c r="F855" s="14"/>
    </row>
    <row r="856" spans="4:6" ht="13" hidden="1">
      <c r="D856" s="12"/>
      <c r="E856" s="13"/>
      <c r="F856" s="14"/>
    </row>
    <row r="857" spans="4:6" ht="13" hidden="1">
      <c r="D857" s="12"/>
      <c r="E857" s="13"/>
      <c r="F857" s="14"/>
    </row>
    <row r="858" spans="4:6" ht="13" hidden="1">
      <c r="D858" s="12"/>
      <c r="E858" s="13"/>
      <c r="F858" s="14"/>
    </row>
    <row r="859" spans="4:6" ht="13" hidden="1">
      <c r="D859" s="12"/>
      <c r="E859" s="13"/>
      <c r="F859" s="14"/>
    </row>
    <row r="860" spans="4:6" ht="13" hidden="1">
      <c r="D860" s="12"/>
      <c r="E860" s="13"/>
      <c r="F860" s="14"/>
    </row>
    <row r="861" spans="4:6" ht="13" hidden="1">
      <c r="D861" s="12"/>
      <c r="E861" s="13"/>
      <c r="F861" s="14"/>
    </row>
    <row r="862" spans="4:6" ht="13" hidden="1">
      <c r="D862" s="12"/>
      <c r="E862" s="13"/>
      <c r="F862" s="14"/>
    </row>
    <row r="863" spans="4:6" ht="13" hidden="1">
      <c r="D863" s="12"/>
      <c r="E863" s="13"/>
      <c r="F863" s="14"/>
    </row>
    <row r="864" spans="4:6" ht="13" hidden="1">
      <c r="D864" s="12"/>
      <c r="E864" s="13"/>
      <c r="F864" s="14"/>
    </row>
    <row r="865" spans="4:6" ht="13" hidden="1">
      <c r="D865" s="12"/>
      <c r="E865" s="13"/>
      <c r="F865" s="14"/>
    </row>
    <row r="866" spans="4:6" ht="13" hidden="1">
      <c r="D866" s="12"/>
      <c r="E866" s="13"/>
      <c r="F866" s="14"/>
    </row>
    <row r="867" spans="4:6" ht="13" hidden="1">
      <c r="D867" s="12"/>
      <c r="E867" s="13"/>
      <c r="F867" s="14"/>
    </row>
    <row r="868" spans="4:6" ht="13" hidden="1">
      <c r="D868" s="12"/>
      <c r="E868" s="13"/>
      <c r="F868" s="14"/>
    </row>
    <row r="869" spans="4:6" ht="13" hidden="1">
      <c r="D869" s="12"/>
      <c r="E869" s="13"/>
      <c r="F869" s="14"/>
    </row>
    <row r="870" spans="4:6" ht="13" hidden="1">
      <c r="D870" s="12"/>
      <c r="E870" s="13"/>
      <c r="F870" s="14"/>
    </row>
    <row r="871" spans="4:6" ht="13" hidden="1">
      <c r="D871" s="12"/>
      <c r="E871" s="13"/>
      <c r="F871" s="14"/>
    </row>
    <row r="872" spans="4:6" ht="13" hidden="1">
      <c r="D872" s="12"/>
      <c r="E872" s="13"/>
      <c r="F872" s="14"/>
    </row>
    <row r="873" spans="4:6" ht="13" hidden="1">
      <c r="D873" s="12"/>
      <c r="E873" s="13"/>
      <c r="F873" s="14"/>
    </row>
    <row r="874" spans="4:6" ht="13" hidden="1">
      <c r="D874" s="12"/>
      <c r="E874" s="13"/>
      <c r="F874" s="14"/>
    </row>
    <row r="875" spans="4:6" ht="13" hidden="1">
      <c r="D875" s="12"/>
      <c r="E875" s="13"/>
      <c r="F875" s="14"/>
    </row>
    <row r="876" spans="4:6" ht="13" hidden="1">
      <c r="D876" s="12"/>
      <c r="E876" s="13"/>
      <c r="F876" s="14"/>
    </row>
    <row r="877" spans="4:6" ht="13" hidden="1">
      <c r="D877" s="12"/>
      <c r="E877" s="13"/>
      <c r="F877" s="14"/>
    </row>
    <row r="878" spans="4:6" ht="13" hidden="1">
      <c r="D878" s="12"/>
      <c r="E878" s="13"/>
      <c r="F878" s="14"/>
    </row>
    <row r="879" spans="4:6" ht="13" hidden="1">
      <c r="D879" s="12"/>
      <c r="E879" s="13"/>
      <c r="F879" s="14"/>
    </row>
    <row r="880" spans="4:6" ht="13" hidden="1">
      <c r="D880" s="12"/>
      <c r="E880" s="13"/>
      <c r="F880" s="14"/>
    </row>
    <row r="881" spans="4:6" ht="13" hidden="1">
      <c r="D881" s="12"/>
      <c r="E881" s="13"/>
      <c r="F881" s="14"/>
    </row>
    <row r="882" spans="4:6" ht="13" hidden="1">
      <c r="D882" s="12"/>
      <c r="E882" s="13"/>
      <c r="F882" s="14"/>
    </row>
    <row r="883" spans="4:6" ht="13" hidden="1">
      <c r="D883" s="12"/>
      <c r="E883" s="13"/>
      <c r="F883" s="14"/>
    </row>
    <row r="884" spans="4:6" ht="13" hidden="1">
      <c r="D884" s="12"/>
      <c r="E884" s="13"/>
      <c r="F884" s="14"/>
    </row>
    <row r="885" spans="4:6" ht="13" hidden="1">
      <c r="D885" s="12"/>
      <c r="E885" s="13"/>
      <c r="F885" s="14"/>
    </row>
    <row r="886" spans="4:6" ht="13" hidden="1">
      <c r="D886" s="12"/>
      <c r="E886" s="13"/>
      <c r="F886" s="14"/>
    </row>
    <row r="887" spans="4:6" ht="13" hidden="1">
      <c r="D887" s="12"/>
      <c r="E887" s="13"/>
      <c r="F887" s="14"/>
    </row>
    <row r="888" spans="4:6" ht="13" hidden="1">
      <c r="D888" s="12"/>
      <c r="E888" s="13"/>
      <c r="F888" s="14"/>
    </row>
    <row r="889" spans="4:6" ht="13" hidden="1">
      <c r="D889" s="12"/>
      <c r="E889" s="13"/>
      <c r="F889" s="14"/>
    </row>
    <row r="890" spans="4:6" ht="13" hidden="1">
      <c r="D890" s="12"/>
      <c r="E890" s="13"/>
      <c r="F890" s="14"/>
    </row>
    <row r="891" spans="4:6" ht="13" hidden="1">
      <c r="D891" s="12"/>
      <c r="E891" s="13"/>
      <c r="F891" s="14"/>
    </row>
    <row r="892" spans="4:6" ht="13" hidden="1">
      <c r="D892" s="12"/>
      <c r="E892" s="13"/>
      <c r="F892" s="14"/>
    </row>
    <row r="893" spans="4:6" ht="13" hidden="1">
      <c r="D893" s="12"/>
      <c r="E893" s="13"/>
      <c r="F893" s="14"/>
    </row>
    <row r="894" spans="4:6" ht="13" hidden="1">
      <c r="D894" s="12"/>
      <c r="E894" s="13"/>
      <c r="F894" s="14"/>
    </row>
    <row r="895" spans="4:6" ht="13" hidden="1">
      <c r="D895" s="12"/>
      <c r="E895" s="13"/>
      <c r="F895" s="14"/>
    </row>
    <row r="896" spans="4:6" ht="13" hidden="1">
      <c r="D896" s="12"/>
      <c r="E896" s="13"/>
      <c r="F896" s="14"/>
    </row>
    <row r="897" spans="4:6" ht="13" hidden="1">
      <c r="D897" s="12"/>
      <c r="E897" s="13"/>
      <c r="F897" s="14"/>
    </row>
    <row r="898" spans="4:6" ht="13" hidden="1">
      <c r="D898" s="12"/>
      <c r="E898" s="13"/>
      <c r="F898" s="14"/>
    </row>
    <row r="899" spans="4:6" ht="13" hidden="1">
      <c r="D899" s="12"/>
      <c r="E899" s="13"/>
      <c r="F899" s="14"/>
    </row>
    <row r="900" spans="4:6" ht="13" hidden="1">
      <c r="D900" s="12"/>
      <c r="E900" s="13"/>
      <c r="F900" s="14"/>
    </row>
    <row r="901" spans="4:6" ht="13" hidden="1">
      <c r="D901" s="12"/>
      <c r="E901" s="13"/>
      <c r="F901" s="14"/>
    </row>
    <row r="902" spans="4:6" ht="13" hidden="1">
      <c r="D902" s="12"/>
      <c r="E902" s="13"/>
      <c r="F902" s="14"/>
    </row>
    <row r="903" spans="4:6" ht="13" hidden="1">
      <c r="D903" s="12"/>
      <c r="E903" s="13"/>
      <c r="F903" s="14"/>
    </row>
    <row r="904" spans="4:6" ht="13" hidden="1">
      <c r="D904" s="12"/>
      <c r="E904" s="13"/>
      <c r="F904" s="14"/>
    </row>
    <row r="905" spans="4:6" ht="13" hidden="1">
      <c r="D905" s="12"/>
      <c r="E905" s="13"/>
      <c r="F905" s="14"/>
    </row>
    <row r="906" spans="4:6" ht="13" hidden="1">
      <c r="D906" s="12"/>
      <c r="E906" s="13"/>
      <c r="F906" s="14"/>
    </row>
    <row r="907" spans="4:6" ht="13" hidden="1">
      <c r="D907" s="12"/>
      <c r="E907" s="13"/>
      <c r="F907" s="14"/>
    </row>
    <row r="908" spans="4:6" ht="13" hidden="1">
      <c r="D908" s="12"/>
      <c r="E908" s="13"/>
      <c r="F908" s="14"/>
    </row>
    <row r="909" spans="4:6" ht="13" hidden="1">
      <c r="D909" s="12"/>
      <c r="E909" s="13"/>
      <c r="F909" s="14"/>
    </row>
    <row r="910" spans="4:6" ht="13" hidden="1">
      <c r="D910" s="12"/>
      <c r="E910" s="13"/>
      <c r="F910" s="14"/>
    </row>
    <row r="911" spans="4:6" ht="13" hidden="1">
      <c r="D911" s="12"/>
      <c r="E911" s="13"/>
      <c r="F911" s="14"/>
    </row>
    <row r="912" spans="4:6" ht="13" hidden="1">
      <c r="D912" s="12"/>
      <c r="E912" s="13"/>
      <c r="F912" s="14"/>
    </row>
    <row r="913" spans="4:6" ht="13" hidden="1">
      <c r="D913" s="12"/>
      <c r="E913" s="13"/>
      <c r="F913" s="14"/>
    </row>
    <row r="914" spans="4:6" ht="13" hidden="1">
      <c r="D914" s="12"/>
      <c r="E914" s="13"/>
      <c r="F914" s="14"/>
    </row>
    <row r="915" spans="4:6" ht="13" hidden="1">
      <c r="D915" s="12"/>
      <c r="E915" s="13"/>
      <c r="F915" s="14"/>
    </row>
    <row r="916" spans="4:6" ht="13" hidden="1">
      <c r="D916" s="12"/>
      <c r="E916" s="13"/>
      <c r="F916" s="14"/>
    </row>
    <row r="917" spans="4:6" ht="13" hidden="1">
      <c r="D917" s="12"/>
      <c r="E917" s="13"/>
      <c r="F917" s="14"/>
    </row>
    <row r="918" spans="4:6" ht="13" hidden="1">
      <c r="D918" s="12"/>
      <c r="E918" s="13"/>
      <c r="F918" s="14"/>
    </row>
    <row r="919" spans="4:6" ht="13" hidden="1">
      <c r="D919" s="12"/>
      <c r="E919" s="13"/>
      <c r="F919" s="14"/>
    </row>
    <row r="920" spans="4:6" ht="13" hidden="1">
      <c r="D920" s="12"/>
      <c r="E920" s="13"/>
      <c r="F920" s="14"/>
    </row>
    <row r="921" spans="4:6" ht="13" hidden="1">
      <c r="D921" s="12"/>
      <c r="E921" s="13"/>
      <c r="F921" s="14"/>
    </row>
    <row r="922" spans="4:6" ht="13" hidden="1">
      <c r="D922" s="12"/>
      <c r="E922" s="13"/>
      <c r="F922" s="14"/>
    </row>
    <row r="923" spans="4:6" ht="13" hidden="1">
      <c r="D923" s="12"/>
      <c r="E923" s="13"/>
      <c r="F923" s="14"/>
    </row>
    <row r="924" spans="4:6" ht="13" hidden="1">
      <c r="D924" s="12"/>
      <c r="E924" s="13"/>
      <c r="F924" s="14"/>
    </row>
    <row r="925" spans="4:6" ht="13" hidden="1">
      <c r="D925" s="12"/>
      <c r="E925" s="13"/>
      <c r="F925" s="14"/>
    </row>
    <row r="926" spans="4:6" ht="13" hidden="1">
      <c r="D926" s="12"/>
      <c r="E926" s="13"/>
      <c r="F926" s="14"/>
    </row>
    <row r="927" spans="4:6" ht="13" hidden="1">
      <c r="D927" s="12"/>
      <c r="E927" s="13"/>
      <c r="F927" s="14"/>
    </row>
    <row r="928" spans="4:6" ht="13" hidden="1">
      <c r="D928" s="12"/>
      <c r="E928" s="13"/>
      <c r="F928" s="14"/>
    </row>
    <row r="929" spans="4:6" ht="13" hidden="1">
      <c r="D929" s="12"/>
      <c r="E929" s="13"/>
      <c r="F929" s="14"/>
    </row>
    <row r="930" spans="4:6" ht="13" hidden="1">
      <c r="D930" s="12"/>
      <c r="E930" s="13"/>
      <c r="F930" s="14"/>
    </row>
    <row r="931" spans="4:6" ht="13" hidden="1">
      <c r="D931" s="12"/>
      <c r="E931" s="13"/>
      <c r="F931" s="14"/>
    </row>
    <row r="932" spans="4:6" ht="13" hidden="1">
      <c r="D932" s="12"/>
      <c r="E932" s="13"/>
      <c r="F932" s="14"/>
    </row>
    <row r="933" spans="4:6" ht="13" hidden="1">
      <c r="D933" s="12"/>
      <c r="E933" s="13"/>
      <c r="F933" s="14"/>
    </row>
    <row r="934" spans="4:6" ht="13" hidden="1">
      <c r="D934" s="12"/>
      <c r="E934" s="13"/>
      <c r="F934" s="14"/>
    </row>
    <row r="935" spans="4:6" ht="13" hidden="1">
      <c r="D935" s="12"/>
      <c r="E935" s="13"/>
      <c r="F935" s="14"/>
    </row>
    <row r="936" spans="4:6" ht="13" hidden="1">
      <c r="D936" s="12"/>
      <c r="E936" s="13"/>
      <c r="F936" s="14"/>
    </row>
    <row r="937" spans="4:6" ht="13" hidden="1">
      <c r="D937" s="12"/>
      <c r="E937" s="13"/>
      <c r="F937" s="14"/>
    </row>
    <row r="938" spans="4:6" ht="13" hidden="1">
      <c r="D938" s="12"/>
      <c r="E938" s="13"/>
      <c r="F938" s="14"/>
    </row>
    <row r="939" spans="4:6" ht="13" hidden="1">
      <c r="D939" s="12"/>
      <c r="E939" s="13"/>
      <c r="F939" s="14"/>
    </row>
    <row r="940" spans="4:6" ht="13" hidden="1">
      <c r="D940" s="12"/>
      <c r="E940" s="13"/>
      <c r="F940" s="14"/>
    </row>
    <row r="941" spans="4:6" ht="13" hidden="1">
      <c r="D941" s="12"/>
      <c r="E941" s="13"/>
      <c r="F941" s="14"/>
    </row>
    <row r="942" spans="4:6" ht="13" hidden="1">
      <c r="D942" s="12"/>
      <c r="E942" s="13"/>
      <c r="F942" s="14"/>
    </row>
    <row r="943" spans="4:6" ht="13" hidden="1">
      <c r="D943" s="12"/>
      <c r="E943" s="13"/>
      <c r="F943" s="14"/>
    </row>
    <row r="944" spans="4:6" ht="13" hidden="1">
      <c r="D944" s="12"/>
      <c r="E944" s="13"/>
      <c r="F944" s="14"/>
    </row>
    <row r="945" spans="4:6" ht="13" hidden="1">
      <c r="D945" s="12"/>
      <c r="E945" s="13"/>
      <c r="F945" s="14"/>
    </row>
    <row r="946" spans="4:6" ht="13" hidden="1">
      <c r="D946" s="12"/>
      <c r="E946" s="13"/>
      <c r="F946" s="14"/>
    </row>
    <row r="947" spans="4:6" ht="13" hidden="1">
      <c r="D947" s="12"/>
      <c r="E947" s="13"/>
      <c r="F947" s="14"/>
    </row>
    <row r="948" spans="4:6" ht="13" hidden="1">
      <c r="D948" s="12"/>
      <c r="E948" s="13"/>
      <c r="F948" s="14"/>
    </row>
    <row r="949" spans="4:6" ht="13" hidden="1">
      <c r="D949" s="12"/>
      <c r="E949" s="13"/>
      <c r="F949" s="14"/>
    </row>
    <row r="950" spans="4:6" ht="13" hidden="1">
      <c r="D950" s="12"/>
      <c r="E950" s="13"/>
      <c r="F950" s="14"/>
    </row>
    <row r="951" spans="4:6" ht="13" hidden="1">
      <c r="D951" s="12"/>
      <c r="E951" s="13"/>
      <c r="F951" s="14"/>
    </row>
    <row r="952" spans="4:6" ht="13" hidden="1">
      <c r="D952" s="12"/>
      <c r="E952" s="13"/>
      <c r="F952" s="14"/>
    </row>
    <row r="953" spans="4:6" ht="13" hidden="1">
      <c r="D953" s="12"/>
      <c r="E953" s="13"/>
      <c r="F953" s="14"/>
    </row>
    <row r="954" spans="4:6" ht="13" hidden="1">
      <c r="D954" s="12"/>
      <c r="E954" s="13"/>
      <c r="F954" s="14"/>
    </row>
    <row r="955" spans="4:6" ht="13" hidden="1">
      <c r="D955" s="12"/>
      <c r="E955" s="13"/>
      <c r="F955" s="14"/>
    </row>
    <row r="956" spans="4:6" ht="13" hidden="1">
      <c r="D956" s="12"/>
      <c r="E956" s="13"/>
      <c r="F956" s="14"/>
    </row>
    <row r="957" spans="4:6" ht="13" hidden="1">
      <c r="D957" s="12"/>
      <c r="E957" s="13"/>
      <c r="F957" s="14"/>
    </row>
    <row r="958" spans="4:6" ht="13" hidden="1">
      <c r="D958" s="12"/>
      <c r="E958" s="13"/>
      <c r="F958" s="14"/>
    </row>
    <row r="959" spans="4:6" ht="13" hidden="1">
      <c r="D959" s="12"/>
      <c r="E959" s="13"/>
      <c r="F959" s="14"/>
    </row>
    <row r="960" spans="4:6" ht="13" hidden="1">
      <c r="D960" s="12"/>
      <c r="E960" s="13"/>
      <c r="F960" s="14"/>
    </row>
    <row r="961" spans="4:6" ht="13" hidden="1">
      <c r="D961" s="12"/>
      <c r="E961" s="13"/>
      <c r="F961" s="14"/>
    </row>
    <row r="962" spans="4:6" ht="13" hidden="1">
      <c r="D962" s="12"/>
      <c r="E962" s="13"/>
      <c r="F962" s="14"/>
    </row>
    <row r="963" spans="4:6" ht="13" hidden="1">
      <c r="D963" s="12"/>
      <c r="E963" s="13"/>
      <c r="F963" s="14"/>
    </row>
    <row r="964" spans="4:6" ht="13" hidden="1">
      <c r="D964" s="12"/>
      <c r="E964" s="13"/>
      <c r="F964" s="14"/>
    </row>
    <row r="965" spans="4:6" ht="13" hidden="1">
      <c r="D965" s="12"/>
      <c r="E965" s="13"/>
      <c r="F965" s="14"/>
    </row>
    <row r="966" spans="4:6" ht="13" hidden="1">
      <c r="D966" s="12"/>
      <c r="E966" s="13"/>
      <c r="F966" s="14"/>
    </row>
    <row r="967" spans="4:6" ht="13" hidden="1">
      <c r="D967" s="12"/>
      <c r="E967" s="13"/>
      <c r="F967" s="14"/>
    </row>
    <row r="968" spans="4:6" ht="13" hidden="1">
      <c r="D968" s="12"/>
      <c r="E968" s="13"/>
      <c r="F968" s="14"/>
    </row>
    <row r="969" spans="4:6" ht="13" hidden="1">
      <c r="D969" s="12"/>
      <c r="E969" s="13"/>
      <c r="F969" s="14"/>
    </row>
    <row r="970" spans="4:6" ht="13" hidden="1">
      <c r="D970" s="12"/>
      <c r="E970" s="13"/>
      <c r="F970" s="14"/>
    </row>
    <row r="971" spans="4:6" ht="13" hidden="1">
      <c r="D971" s="12"/>
      <c r="E971" s="13"/>
      <c r="F971" s="14"/>
    </row>
    <row r="972" spans="4:6" ht="13" hidden="1">
      <c r="D972" s="12"/>
      <c r="E972" s="13"/>
      <c r="F972" s="14"/>
    </row>
    <row r="973" spans="4:6" ht="13" hidden="1">
      <c r="D973" s="12"/>
      <c r="E973" s="13"/>
      <c r="F973" s="14"/>
    </row>
    <row r="974" spans="4:6" ht="13" hidden="1">
      <c r="D974" s="12"/>
      <c r="E974" s="13"/>
      <c r="F974" s="14"/>
    </row>
    <row r="975" spans="4:6" ht="13" hidden="1">
      <c r="D975" s="12"/>
      <c r="E975" s="13"/>
      <c r="F975" s="14"/>
    </row>
    <row r="976" spans="4:6" ht="13" hidden="1">
      <c r="D976" s="12"/>
      <c r="E976" s="13"/>
      <c r="F976" s="14"/>
    </row>
    <row r="977" spans="4:6" ht="13" hidden="1">
      <c r="D977" s="12"/>
      <c r="E977" s="13"/>
      <c r="F977" s="14"/>
    </row>
    <row r="978" spans="4:6" ht="13" hidden="1">
      <c r="D978" s="12"/>
      <c r="E978" s="13"/>
      <c r="F978" s="14"/>
    </row>
    <row r="979" spans="4:6" ht="13" hidden="1">
      <c r="D979" s="12"/>
      <c r="E979" s="13"/>
      <c r="F979" s="14"/>
    </row>
    <row r="980" spans="4:6" ht="13" hidden="1">
      <c r="D980" s="12"/>
      <c r="E980" s="13"/>
      <c r="F980" s="14"/>
    </row>
    <row r="981" spans="4:6" ht="13" hidden="1">
      <c r="D981" s="12"/>
      <c r="E981" s="13"/>
      <c r="F981" s="14"/>
    </row>
    <row r="982" spans="4:6" ht="13" hidden="1">
      <c r="D982" s="12"/>
      <c r="E982" s="13"/>
      <c r="F982" s="14"/>
    </row>
    <row r="983" spans="4:6" ht="13" hidden="1">
      <c r="D983" s="12"/>
      <c r="E983" s="13"/>
      <c r="F983" s="14"/>
    </row>
    <row r="984" spans="4:6" ht="13" hidden="1">
      <c r="D984" s="12"/>
      <c r="E984" s="13"/>
      <c r="F984" s="14"/>
    </row>
    <row r="985" spans="4:6" ht="13" hidden="1">
      <c r="D985" s="12"/>
      <c r="E985" s="13"/>
      <c r="F985" s="14"/>
    </row>
    <row r="986" spans="4:6" ht="13" hidden="1">
      <c r="D986" s="12"/>
      <c r="E986" s="13"/>
      <c r="F986" s="14"/>
    </row>
    <row r="987" spans="4:6" ht="13" hidden="1">
      <c r="D987" s="12"/>
      <c r="E987" s="13"/>
      <c r="F987" s="14"/>
    </row>
    <row r="988" spans="4:6" ht="13" hidden="1">
      <c r="D988" s="12"/>
      <c r="E988" s="13"/>
      <c r="F988" s="14"/>
    </row>
    <row r="989" spans="4:6" ht="13" hidden="1">
      <c r="D989" s="12"/>
      <c r="E989" s="13"/>
      <c r="F989" s="14"/>
    </row>
    <row r="990" spans="4:6" ht="13" hidden="1">
      <c r="D990" s="12"/>
      <c r="E990" s="13"/>
      <c r="F990" s="14"/>
    </row>
    <row r="991" spans="4:6" ht="13" hidden="1">
      <c r="D991" s="12"/>
      <c r="E991" s="13"/>
      <c r="F991" s="14"/>
    </row>
    <row r="992" spans="4:6" ht="13" hidden="1">
      <c r="D992" s="12"/>
      <c r="E992" s="13"/>
      <c r="F992" s="14"/>
    </row>
    <row r="993" spans="4:6" ht="13" hidden="1">
      <c r="D993" s="12"/>
      <c r="E993" s="13"/>
      <c r="F993" s="14"/>
    </row>
  </sheetData>
  <mergeCells count="37">
    <mergeCell ref="Z4:AA4"/>
    <mergeCell ref="I20:W20"/>
    <mergeCell ref="I22:W22"/>
    <mergeCell ref="I23:W23"/>
    <mergeCell ref="I24:W24"/>
    <mergeCell ref="Y8:AA8"/>
    <mergeCell ref="I26:W26"/>
    <mergeCell ref="A21:W21"/>
    <mergeCell ref="I15:W15"/>
    <mergeCell ref="I16:W16"/>
    <mergeCell ref="I17:W17"/>
    <mergeCell ref="I18:W18"/>
    <mergeCell ref="I19:W19"/>
    <mergeCell ref="A3:F3"/>
    <mergeCell ref="A5:W5"/>
    <mergeCell ref="A14:W14"/>
    <mergeCell ref="A1:W2"/>
    <mergeCell ref="G3:W3"/>
    <mergeCell ref="I4:W4"/>
    <mergeCell ref="I6:W6"/>
    <mergeCell ref="I8:W8"/>
    <mergeCell ref="I9:W9"/>
    <mergeCell ref="I10:W10"/>
    <mergeCell ref="I12:W12"/>
    <mergeCell ref="I13:W13"/>
    <mergeCell ref="I27:W27"/>
    <mergeCell ref="I28:W28"/>
    <mergeCell ref="A29:W29"/>
    <mergeCell ref="A86:W86"/>
    <mergeCell ref="A93:C93"/>
    <mergeCell ref="A36:W36"/>
    <mergeCell ref="A43:W43"/>
    <mergeCell ref="A51:W51"/>
    <mergeCell ref="A58:W58"/>
    <mergeCell ref="A65:W65"/>
    <mergeCell ref="A72:W72"/>
    <mergeCell ref="A79:W79"/>
  </mergeCells>
  <conditionalFormatting sqref="D3:D4 D6:D13 D15:D20 D22:D28 D30:D35 D37:D42 D44:D50 D52:D57 D59:D64 D66:D71 D73:D78 D80:D85 D87:D92 D94:D993">
    <cfRule type="containsText" dxfId="13" priority="1" operator="containsText" text="IN LINE">
      <formula>NOT(ISERROR(SEARCH(("IN LINE"),(D3))))</formula>
    </cfRule>
  </conditionalFormatting>
  <pageMargins left="0.7" right="0.7" top="0.75" bottom="0.75" header="0.3" footer="0.3"/>
  <pageSetup paperSize="8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0C75-7CA0-A84D-976D-6777DACBFF46}">
  <dimension ref="A1:N47"/>
  <sheetViews>
    <sheetView workbookViewId="0">
      <pane ySplit="2" topLeftCell="A3" activePane="bottomLeft" state="frozen"/>
      <selection pane="bottomLeft" activeCell="C17" sqref="C17"/>
    </sheetView>
  </sheetViews>
  <sheetFormatPr baseColWidth="10" defaultRowHeight="13"/>
  <cols>
    <col min="1" max="1" width="24.5" customWidth="1"/>
    <col min="2" max="2" width="29.6640625" customWidth="1"/>
    <col min="3" max="3" width="26" customWidth="1"/>
    <col min="4" max="4" width="22.6640625" customWidth="1"/>
    <col min="5" max="5" width="28.6640625" bestFit="1" customWidth="1"/>
    <col min="6" max="6" width="29.6640625" bestFit="1" customWidth="1"/>
    <col min="7" max="7" width="23.5" customWidth="1"/>
    <col min="8" max="8" width="26.33203125" customWidth="1"/>
    <col min="9" max="9" width="26.5" customWidth="1"/>
    <col min="10" max="10" width="23.6640625" customWidth="1"/>
    <col min="11" max="11" width="24.83203125" customWidth="1"/>
    <col min="12" max="12" width="25.33203125" customWidth="1"/>
    <col min="13" max="13" width="26" customWidth="1"/>
    <col min="14" max="14" width="12.6640625" bestFit="1" customWidth="1"/>
  </cols>
  <sheetData>
    <row r="1" spans="1:14" ht="25" customHeight="1">
      <c r="A1" s="498" t="s">
        <v>68</v>
      </c>
      <c r="B1" s="186">
        <v>1</v>
      </c>
      <c r="C1" s="186">
        <v>2</v>
      </c>
      <c r="D1" s="186">
        <v>3</v>
      </c>
      <c r="E1" s="186">
        <v>4</v>
      </c>
      <c r="F1" s="186">
        <v>5</v>
      </c>
      <c r="G1" s="186">
        <v>6</v>
      </c>
      <c r="H1" s="186">
        <v>7</v>
      </c>
      <c r="I1" s="186">
        <v>8</v>
      </c>
      <c r="J1" s="186">
        <v>9</v>
      </c>
      <c r="K1" s="186">
        <v>10</v>
      </c>
      <c r="L1" s="186">
        <v>11</v>
      </c>
      <c r="M1" s="186">
        <v>12</v>
      </c>
      <c r="N1" s="186">
        <v>13</v>
      </c>
    </row>
    <row r="2" spans="1:14" ht="18">
      <c r="A2" s="498"/>
      <c r="B2" s="175" t="s">
        <v>364</v>
      </c>
      <c r="C2" s="175" t="s">
        <v>368</v>
      </c>
      <c r="D2" s="175" t="s">
        <v>366</v>
      </c>
      <c r="E2" s="175" t="s">
        <v>367</v>
      </c>
      <c r="F2" s="175" t="s">
        <v>361</v>
      </c>
      <c r="G2" s="185" t="s">
        <v>362</v>
      </c>
      <c r="H2" s="175" t="s">
        <v>363</v>
      </c>
      <c r="I2" s="175" t="s">
        <v>364</v>
      </c>
      <c r="J2" s="175" t="s">
        <v>365</v>
      </c>
      <c r="K2" s="175" t="s">
        <v>366</v>
      </c>
      <c r="L2" s="175" t="s">
        <v>367</v>
      </c>
      <c r="M2" s="175" t="s">
        <v>361</v>
      </c>
      <c r="N2" s="175" t="s">
        <v>362</v>
      </c>
    </row>
    <row r="3" spans="1:14" ht="19" thickBot="1">
      <c r="A3" s="498"/>
      <c r="B3" s="174">
        <v>46235</v>
      </c>
      <c r="C3" s="174">
        <v>46236</v>
      </c>
      <c r="D3" s="174">
        <v>46237</v>
      </c>
      <c r="E3" s="174">
        <v>46238</v>
      </c>
      <c r="F3" s="174">
        <v>46239</v>
      </c>
      <c r="G3" s="188">
        <v>46240</v>
      </c>
      <c r="H3" s="174">
        <v>46241</v>
      </c>
      <c r="I3" s="174">
        <v>46242</v>
      </c>
      <c r="J3" s="174">
        <v>46243</v>
      </c>
      <c r="K3" s="174">
        <v>46244</v>
      </c>
      <c r="L3" s="174">
        <v>46245</v>
      </c>
      <c r="M3" s="174">
        <v>46246</v>
      </c>
      <c r="N3" s="174">
        <v>46247</v>
      </c>
    </row>
    <row r="4" spans="1:14" ht="17" thickBot="1">
      <c r="A4" s="499"/>
      <c r="B4" s="190" t="s">
        <v>378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9"/>
      <c r="N4" s="182"/>
    </row>
    <row r="5" spans="1:14" ht="16">
      <c r="A5" s="499"/>
      <c r="B5" s="193" t="s">
        <v>376</v>
      </c>
      <c r="C5" s="183"/>
      <c r="D5" s="183"/>
      <c r="E5" s="183"/>
      <c r="F5" s="190" t="s">
        <v>374</v>
      </c>
      <c r="G5" s="183"/>
      <c r="H5" s="183"/>
      <c r="I5" s="183"/>
      <c r="J5" s="183"/>
      <c r="K5" s="183"/>
      <c r="L5" s="183"/>
      <c r="M5" s="183"/>
      <c r="N5" s="183"/>
    </row>
    <row r="6" spans="1:14" ht="17" thickBot="1">
      <c r="A6" s="499"/>
      <c r="B6" s="191" t="s">
        <v>377</v>
      </c>
      <c r="C6" s="183"/>
      <c r="D6" s="183"/>
      <c r="E6" s="183"/>
      <c r="F6" s="191" t="s">
        <v>375</v>
      </c>
      <c r="G6" s="183"/>
      <c r="H6" s="183"/>
      <c r="I6" s="183"/>
      <c r="J6" s="183"/>
      <c r="K6" s="183"/>
      <c r="L6" s="183"/>
      <c r="M6" s="183"/>
      <c r="N6" s="183"/>
    </row>
    <row r="7" spans="1:14">
      <c r="A7" s="499"/>
      <c r="B7" s="183"/>
      <c r="C7" s="183"/>
      <c r="D7" s="183"/>
      <c r="E7" s="183"/>
      <c r="F7" s="187"/>
      <c r="G7" s="183"/>
      <c r="H7" s="183"/>
      <c r="I7" s="183"/>
      <c r="J7" s="183"/>
      <c r="K7" s="183"/>
      <c r="L7" s="183"/>
      <c r="M7" s="183"/>
      <c r="N7" s="183"/>
    </row>
    <row r="8" spans="1:14">
      <c r="A8" s="499"/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</row>
    <row r="9" spans="1:14">
      <c r="A9" s="499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</row>
    <row r="10" spans="1:14" ht="14" thickBot="1">
      <c r="A10" s="499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</row>
    <row r="11" spans="1:14" ht="18">
      <c r="A11" s="499"/>
      <c r="B11" s="183"/>
      <c r="C11" s="183"/>
      <c r="D11" s="183"/>
      <c r="E11" s="183"/>
      <c r="F11" s="181" t="s">
        <v>372</v>
      </c>
      <c r="G11" s="183"/>
      <c r="H11" s="183"/>
      <c r="I11" s="183"/>
      <c r="J11" s="183"/>
      <c r="K11" s="183"/>
      <c r="L11" s="183"/>
      <c r="M11" s="183"/>
      <c r="N11" s="183"/>
    </row>
    <row r="12" spans="1:14" ht="19" thickBot="1">
      <c r="B12" s="183"/>
      <c r="C12" s="183"/>
      <c r="D12" s="183"/>
      <c r="E12" s="183"/>
      <c r="F12" s="178" t="s">
        <v>373</v>
      </c>
      <c r="G12" s="183"/>
      <c r="H12" s="183"/>
      <c r="I12" s="183"/>
      <c r="J12" s="183"/>
      <c r="K12" s="183"/>
      <c r="L12" s="183"/>
      <c r="M12" s="183"/>
      <c r="N12" s="183"/>
    </row>
    <row r="13" spans="1:14" ht="14" thickBot="1"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</row>
    <row r="14" spans="1:14" ht="18">
      <c r="B14" s="183"/>
      <c r="C14" s="183"/>
      <c r="D14" s="183"/>
      <c r="E14" s="183"/>
      <c r="F14" s="176" t="s">
        <v>371</v>
      </c>
      <c r="G14" s="183"/>
      <c r="H14" s="183"/>
      <c r="I14" s="183"/>
      <c r="J14" s="183"/>
      <c r="K14" s="183"/>
      <c r="L14" s="183"/>
      <c r="M14" s="183"/>
      <c r="N14" s="183"/>
    </row>
    <row r="15" spans="1:14" ht="16">
      <c r="B15" s="183"/>
      <c r="C15" s="183"/>
      <c r="D15" s="183"/>
      <c r="E15" s="183"/>
      <c r="F15" s="179" t="s">
        <v>369</v>
      </c>
      <c r="G15" s="183"/>
      <c r="H15" s="183"/>
      <c r="I15" s="183"/>
      <c r="J15" s="183"/>
      <c r="K15" s="183"/>
      <c r="L15" s="183"/>
      <c r="M15" s="183"/>
      <c r="N15" s="183"/>
    </row>
    <row r="16" spans="1:14" ht="17" thickBot="1">
      <c r="B16" s="183"/>
      <c r="C16" s="183"/>
      <c r="D16" s="183"/>
      <c r="E16" s="183"/>
      <c r="F16" s="180" t="s">
        <v>370</v>
      </c>
      <c r="G16" s="183"/>
      <c r="H16" s="183"/>
      <c r="I16" s="183"/>
      <c r="J16" s="183"/>
      <c r="K16" s="183"/>
      <c r="L16" s="183"/>
      <c r="M16" s="183"/>
      <c r="N16" s="183"/>
    </row>
    <row r="17" spans="2:14"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</row>
    <row r="18" spans="2:14"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</row>
    <row r="19" spans="2:14"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</row>
    <row r="20" spans="2:14"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</row>
    <row r="21" spans="2:14"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</row>
    <row r="22" spans="2:14"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</row>
    <row r="23" spans="2:14"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</row>
    <row r="24" spans="2:14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</row>
    <row r="25" spans="2:14"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</row>
    <row r="26" spans="2:14"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</row>
    <row r="27" spans="2:14"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</row>
    <row r="28" spans="2:14"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</row>
    <row r="29" spans="2:14"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</row>
    <row r="30" spans="2:14"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</row>
    <row r="31" spans="2:14"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</row>
    <row r="32" spans="2:14"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</row>
    <row r="33" spans="2:14"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</row>
    <row r="34" spans="2:14"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</row>
    <row r="35" spans="2:14"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</row>
    <row r="36" spans="2:14"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</row>
    <row r="37" spans="2:14"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</row>
    <row r="38" spans="2:14"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</row>
    <row r="39" spans="2:14"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</row>
    <row r="40" spans="2:14"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</row>
    <row r="41" spans="2:14"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</row>
    <row r="42" spans="2:14"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</row>
    <row r="43" spans="2:14"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</row>
    <row r="44" spans="2:14"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</row>
    <row r="45" spans="2:14"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</row>
    <row r="46" spans="2:14"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</row>
    <row r="47" spans="2:14" ht="14" thickBot="1"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</row>
  </sheetData>
  <mergeCells count="5">
    <mergeCell ref="A1:A3"/>
    <mergeCell ref="A4:A5"/>
    <mergeCell ref="A6:A7"/>
    <mergeCell ref="A8:A9"/>
    <mergeCell ref="A10:A11"/>
  </mergeCells>
  <pageMargins left="0.7" right="0.7" top="0.75" bottom="0.75" header="0.3" footer="0.3"/>
  <pageSetup paperSize="8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Y831"/>
  <sheetViews>
    <sheetView workbookViewId="0">
      <selection activeCell="AA16" sqref="AA16"/>
    </sheetView>
  </sheetViews>
  <sheetFormatPr baseColWidth="10" defaultColWidth="12.6640625" defaultRowHeight="15.75" customHeight="1"/>
  <cols>
    <col min="1" max="1" width="19" customWidth="1"/>
    <col min="2" max="2" width="16" customWidth="1"/>
    <col min="3" max="3" width="17.1640625" customWidth="1"/>
    <col min="4" max="4" width="23.83203125" bestFit="1" customWidth="1"/>
    <col min="5" max="5" width="74.5" customWidth="1"/>
    <col min="6" max="6" width="20.33203125" customWidth="1"/>
    <col min="7" max="7" width="25.83203125" bestFit="1" customWidth="1"/>
    <col min="8" max="8" width="57.33203125" hidden="1" customWidth="1"/>
    <col min="9" max="9" width="13.6640625" bestFit="1" customWidth="1"/>
    <col min="10" max="25" width="12.6640625" hidden="1"/>
  </cols>
  <sheetData>
    <row r="1" spans="1:25" ht="141.75" customHeight="1">
      <c r="A1" s="84"/>
      <c r="B1" s="549" t="s">
        <v>624</v>
      </c>
      <c r="C1" s="419"/>
      <c r="D1" s="419"/>
      <c r="E1" s="419"/>
      <c r="F1" s="419"/>
      <c r="G1" s="419"/>
      <c r="H1" s="420"/>
      <c r="I1" s="15"/>
    </row>
    <row r="2" spans="1:25" ht="23">
      <c r="A2" s="16"/>
      <c r="B2" s="421" t="s">
        <v>37</v>
      </c>
      <c r="C2" s="422"/>
      <c r="D2" s="422"/>
      <c r="E2" s="422"/>
      <c r="F2" s="422"/>
      <c r="G2" s="422"/>
      <c r="H2" s="423"/>
      <c r="I2" s="17"/>
    </row>
    <row r="3" spans="1:25" ht="23">
      <c r="A3" s="16"/>
      <c r="B3" s="424" t="s">
        <v>629</v>
      </c>
      <c r="C3" s="425"/>
      <c r="D3" s="425"/>
      <c r="E3" s="425"/>
      <c r="F3" s="425"/>
      <c r="G3" s="425"/>
      <c r="H3" s="42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6">
      <c r="A4" s="427">
        <v>46235</v>
      </c>
      <c r="B4" s="413"/>
      <c r="C4" s="414"/>
      <c r="D4" s="96"/>
      <c r="E4" s="96"/>
      <c r="F4" s="96"/>
      <c r="G4" s="96"/>
      <c r="H4" s="96"/>
      <c r="I4" s="96"/>
    </row>
    <row r="5" spans="1:25" ht="16">
      <c r="A5" s="147" t="s">
        <v>38</v>
      </c>
      <c r="B5" s="147" t="s">
        <v>39</v>
      </c>
      <c r="C5" s="148" t="s">
        <v>40</v>
      </c>
      <c r="D5" s="148" t="s">
        <v>14</v>
      </c>
      <c r="E5" s="149" t="s">
        <v>41</v>
      </c>
      <c r="F5" s="148" t="s">
        <v>42</v>
      </c>
      <c r="G5" s="148" t="s">
        <v>43</v>
      </c>
      <c r="H5" s="148" t="s">
        <v>32</v>
      </c>
      <c r="I5" s="148" t="s">
        <v>44</v>
      </c>
    </row>
    <row r="6" spans="1:25" ht="21" customHeight="1">
      <c r="A6" s="97">
        <v>700</v>
      </c>
      <c r="B6" s="97" t="s">
        <v>633</v>
      </c>
      <c r="C6" s="97" t="s">
        <v>45</v>
      </c>
      <c r="D6" s="97" t="s">
        <v>46</v>
      </c>
      <c r="E6" s="50" t="s">
        <v>619</v>
      </c>
      <c r="F6" s="97"/>
      <c r="G6" s="97" t="s">
        <v>48</v>
      </c>
      <c r="H6" s="97"/>
      <c r="I6" s="98" t="b">
        <v>0</v>
      </c>
    </row>
    <row r="7" spans="1:25" ht="16">
      <c r="A7" s="97" t="s">
        <v>631</v>
      </c>
      <c r="B7" s="550">
        <v>0.35416666666666669</v>
      </c>
      <c r="C7" s="97" t="s">
        <v>61</v>
      </c>
      <c r="D7" s="97" t="s">
        <v>46</v>
      </c>
      <c r="E7" s="50" t="s">
        <v>327</v>
      </c>
      <c r="F7" s="97"/>
      <c r="G7" s="97"/>
      <c r="H7" s="97"/>
      <c r="I7" s="98" t="b">
        <v>0</v>
      </c>
    </row>
    <row r="8" spans="1:25" ht="16">
      <c r="A8" s="97">
        <v>700</v>
      </c>
      <c r="B8" s="97">
        <v>1300</v>
      </c>
      <c r="C8" s="97" t="s">
        <v>61</v>
      </c>
      <c r="D8" s="97" t="s">
        <v>607</v>
      </c>
      <c r="E8" s="50" t="s">
        <v>334</v>
      </c>
      <c r="F8" s="97"/>
      <c r="G8" s="97"/>
      <c r="H8" s="97"/>
      <c r="I8" s="98" t="b">
        <v>0</v>
      </c>
    </row>
    <row r="9" spans="1:25" ht="16">
      <c r="A9" s="97">
        <v>700</v>
      </c>
      <c r="B9" s="551" t="s">
        <v>625</v>
      </c>
      <c r="C9" s="97" t="s">
        <v>45</v>
      </c>
      <c r="D9" s="97" t="s">
        <v>46</v>
      </c>
      <c r="E9" s="50" t="s">
        <v>620</v>
      </c>
      <c r="F9" s="97"/>
      <c r="G9" s="97"/>
      <c r="H9" s="97"/>
      <c r="I9" s="98" t="b">
        <v>0</v>
      </c>
    </row>
    <row r="10" spans="1:25" ht="16">
      <c r="A10" s="99">
        <v>0.29166666666666669</v>
      </c>
      <c r="B10" s="550">
        <v>0.35416666666666669</v>
      </c>
      <c r="C10" s="97" t="s">
        <v>45</v>
      </c>
      <c r="D10" s="97" t="s">
        <v>311</v>
      </c>
      <c r="E10" s="50" t="s">
        <v>324</v>
      </c>
      <c r="F10" s="99"/>
      <c r="G10" s="99"/>
      <c r="H10" s="97" t="s">
        <v>45</v>
      </c>
      <c r="I10" s="98" t="b">
        <v>0</v>
      </c>
      <c r="J10" s="21" t="s">
        <v>50</v>
      </c>
      <c r="K10" s="22"/>
      <c r="L10" s="22"/>
      <c r="M10" s="20" t="s">
        <v>45</v>
      </c>
      <c r="N10" s="19" t="s">
        <v>49</v>
      </c>
      <c r="O10" s="21" t="s">
        <v>50</v>
      </c>
      <c r="P10" s="22"/>
      <c r="Q10" s="22"/>
      <c r="R10" s="20" t="s">
        <v>45</v>
      </c>
      <c r="S10" s="19" t="s">
        <v>49</v>
      </c>
      <c r="T10" s="21" t="s">
        <v>50</v>
      </c>
      <c r="U10" s="22"/>
      <c r="V10" s="22"/>
      <c r="W10" s="20" t="s">
        <v>45</v>
      </c>
      <c r="X10" s="19" t="s">
        <v>49</v>
      </c>
      <c r="Y10" s="21" t="s">
        <v>50</v>
      </c>
    </row>
    <row r="11" spans="1:25" ht="16">
      <c r="A11" s="99" t="s">
        <v>621</v>
      </c>
      <c r="B11" s="99" t="s">
        <v>630</v>
      </c>
      <c r="C11" s="97" t="s">
        <v>51</v>
      </c>
      <c r="D11" s="97" t="s">
        <v>333</v>
      </c>
      <c r="E11" s="50" t="s">
        <v>325</v>
      </c>
      <c r="F11" s="99"/>
      <c r="G11" s="99"/>
      <c r="H11" s="97"/>
      <c r="I11" s="98" t="b">
        <v>0</v>
      </c>
      <c r="J11" s="23"/>
      <c r="K11" s="24"/>
      <c r="L11" s="24"/>
      <c r="M11" s="25"/>
      <c r="N11" s="26"/>
      <c r="O11" s="23"/>
      <c r="P11" s="24"/>
      <c r="Q11" s="24"/>
      <c r="R11" s="25"/>
      <c r="S11" s="26"/>
      <c r="T11" s="23"/>
      <c r="U11" s="24"/>
      <c r="V11" s="24"/>
      <c r="W11" s="25"/>
      <c r="X11" s="26"/>
      <c r="Y11" s="23"/>
    </row>
    <row r="12" spans="1:25" ht="16">
      <c r="A12" s="99" t="s">
        <v>621</v>
      </c>
      <c r="B12" s="99" t="s">
        <v>630</v>
      </c>
      <c r="C12" s="97" t="s">
        <v>51</v>
      </c>
      <c r="D12" s="97" t="s">
        <v>311</v>
      </c>
      <c r="E12" s="50" t="s">
        <v>628</v>
      </c>
      <c r="F12" s="99"/>
      <c r="G12" s="99"/>
      <c r="H12" s="97"/>
      <c r="I12" s="98" t="b">
        <v>0</v>
      </c>
      <c r="J12" s="23"/>
      <c r="K12" s="24"/>
      <c r="L12" s="24"/>
      <c r="M12" s="25"/>
      <c r="N12" s="26"/>
      <c r="O12" s="23"/>
      <c r="P12" s="24"/>
      <c r="Q12" s="24"/>
      <c r="R12" s="25"/>
      <c r="S12" s="26"/>
      <c r="T12" s="23"/>
      <c r="U12" s="24"/>
      <c r="V12" s="24"/>
      <c r="W12" s="25"/>
      <c r="X12" s="26"/>
      <c r="Y12" s="23"/>
    </row>
    <row r="13" spans="1:25" ht="16">
      <c r="A13" s="99">
        <v>0.29166666666666669</v>
      </c>
      <c r="B13" s="99" t="s">
        <v>630</v>
      </c>
      <c r="C13" s="97" t="s">
        <v>51</v>
      </c>
      <c r="D13" s="97" t="s">
        <v>46</v>
      </c>
      <c r="E13" s="50" t="s">
        <v>326</v>
      </c>
      <c r="F13" s="97"/>
      <c r="G13" s="97"/>
      <c r="H13" s="97"/>
      <c r="I13" s="98" t="b">
        <v>0</v>
      </c>
    </row>
    <row r="14" spans="1:25" ht="16">
      <c r="A14" s="99">
        <v>0.29166666666666669</v>
      </c>
      <c r="B14" s="100" t="s">
        <v>625</v>
      </c>
      <c r="C14" s="97" t="s">
        <v>53</v>
      </c>
      <c r="D14" s="97" t="s">
        <v>622</v>
      </c>
      <c r="E14" s="50" t="s">
        <v>632</v>
      </c>
      <c r="F14" s="97"/>
      <c r="G14" s="97"/>
      <c r="H14" s="97"/>
      <c r="I14" s="98" t="b">
        <v>0</v>
      </c>
    </row>
    <row r="15" spans="1:25" ht="16">
      <c r="A15" s="99" t="s">
        <v>413</v>
      </c>
      <c r="B15" s="100" t="s">
        <v>625</v>
      </c>
      <c r="C15" s="97" t="s">
        <v>51</v>
      </c>
      <c r="D15" s="97" t="s">
        <v>46</v>
      </c>
      <c r="E15" s="50" t="s">
        <v>627</v>
      </c>
      <c r="F15" s="97"/>
      <c r="G15" s="97"/>
      <c r="H15" s="97"/>
      <c r="I15" s="98" t="b">
        <v>0</v>
      </c>
    </row>
    <row r="16" spans="1:25" ht="16">
      <c r="A16" s="99" t="s">
        <v>413</v>
      </c>
      <c r="B16" s="100" t="s">
        <v>625</v>
      </c>
      <c r="C16" s="97" t="s">
        <v>51</v>
      </c>
      <c r="D16" s="97" t="s">
        <v>46</v>
      </c>
      <c r="E16" s="50" t="s">
        <v>626</v>
      </c>
      <c r="F16" s="97"/>
      <c r="G16" s="97"/>
      <c r="H16" s="97"/>
      <c r="I16" s="98" t="b">
        <v>0</v>
      </c>
    </row>
    <row r="17" spans="1:25" ht="16">
      <c r="A17" s="99" t="s">
        <v>413</v>
      </c>
      <c r="B17" s="100" t="s">
        <v>625</v>
      </c>
      <c r="C17" s="97" t="s">
        <v>53</v>
      </c>
      <c r="D17" s="97" t="s">
        <v>311</v>
      </c>
      <c r="E17" s="50" t="s">
        <v>636</v>
      </c>
      <c r="F17" s="97"/>
      <c r="G17" s="97"/>
      <c r="H17" s="97"/>
      <c r="I17" s="98" t="b">
        <v>0</v>
      </c>
    </row>
    <row r="18" spans="1:25" ht="16">
      <c r="A18" s="97">
        <v>1700</v>
      </c>
      <c r="B18" s="97">
        <v>700</v>
      </c>
      <c r="C18" s="97" t="s">
        <v>54</v>
      </c>
      <c r="D18" s="97" t="s">
        <v>46</v>
      </c>
      <c r="E18" s="50" t="s">
        <v>623</v>
      </c>
      <c r="F18" s="97"/>
      <c r="G18" s="97"/>
      <c r="H18" s="97"/>
      <c r="I18" s="98" t="b">
        <v>0</v>
      </c>
    </row>
    <row r="19" spans="1:25" ht="16">
      <c r="A19" s="412">
        <f>A4+1</f>
        <v>46236</v>
      </c>
      <c r="B19" s="413"/>
      <c r="C19" s="414"/>
      <c r="D19" s="96"/>
      <c r="E19" s="96"/>
      <c r="F19" s="96"/>
      <c r="G19" s="96"/>
      <c r="H19" s="96"/>
      <c r="I19" s="96"/>
    </row>
    <row r="20" spans="1:25" ht="16">
      <c r="A20" s="147" t="s">
        <v>38</v>
      </c>
      <c r="B20" s="147" t="s">
        <v>39</v>
      </c>
      <c r="C20" s="147" t="s">
        <v>40</v>
      </c>
      <c r="D20" s="148" t="s">
        <v>14</v>
      </c>
      <c r="E20" s="149" t="s">
        <v>41</v>
      </c>
      <c r="F20" s="148" t="s">
        <v>42</v>
      </c>
      <c r="G20" s="148" t="s">
        <v>43</v>
      </c>
      <c r="H20" s="148" t="s">
        <v>32</v>
      </c>
      <c r="I20" s="150"/>
    </row>
    <row r="21" spans="1:25" ht="16">
      <c r="A21" s="99">
        <v>0.29166666666666669</v>
      </c>
      <c r="B21" s="99">
        <v>0.72916666666666663</v>
      </c>
      <c r="C21" s="97" t="s">
        <v>61</v>
      </c>
      <c r="D21" s="97" t="s">
        <v>46</v>
      </c>
      <c r="E21" s="50"/>
      <c r="F21" s="97"/>
      <c r="G21" s="97"/>
      <c r="H21" s="97"/>
      <c r="I21" s="98" t="b">
        <v>0</v>
      </c>
    </row>
    <row r="22" spans="1:25" ht="16">
      <c r="A22" s="97">
        <v>1800</v>
      </c>
      <c r="B22" s="97">
        <v>700</v>
      </c>
      <c r="C22" s="99" t="s">
        <v>61</v>
      </c>
      <c r="D22" s="97"/>
      <c r="F22" s="97"/>
      <c r="G22" s="97"/>
      <c r="H22" s="97"/>
      <c r="I22" s="98" t="b">
        <v>0</v>
      </c>
    </row>
    <row r="23" spans="1:25" ht="16">
      <c r="A23" s="412">
        <f>A19+1</f>
        <v>46237</v>
      </c>
      <c r="B23" s="413"/>
      <c r="C23" s="414"/>
      <c r="D23" s="96"/>
      <c r="E23" s="96"/>
      <c r="F23" s="96"/>
      <c r="G23" s="96"/>
      <c r="H23" s="96"/>
      <c r="I23" s="101"/>
    </row>
    <row r="24" spans="1:25" ht="16">
      <c r="A24" s="147" t="s">
        <v>38</v>
      </c>
      <c r="B24" s="147" t="s">
        <v>39</v>
      </c>
      <c r="C24" s="148" t="s">
        <v>40</v>
      </c>
      <c r="D24" s="148" t="s">
        <v>14</v>
      </c>
      <c r="E24" s="149" t="s">
        <v>41</v>
      </c>
      <c r="F24" s="148" t="s">
        <v>42</v>
      </c>
      <c r="G24" s="148" t="s">
        <v>43</v>
      </c>
      <c r="H24" s="148" t="s">
        <v>32</v>
      </c>
      <c r="I24" s="150"/>
      <c r="J24" s="21" t="s">
        <v>50</v>
      </c>
      <c r="K24" s="22"/>
      <c r="L24" s="22"/>
      <c r="M24" s="20" t="s">
        <v>45</v>
      </c>
      <c r="N24" s="19" t="s">
        <v>49</v>
      </c>
      <c r="O24" s="21" t="s">
        <v>50</v>
      </c>
      <c r="P24" s="22"/>
      <c r="Q24" s="22"/>
      <c r="R24" s="20" t="s">
        <v>45</v>
      </c>
      <c r="S24" s="19" t="s">
        <v>49</v>
      </c>
      <c r="T24" s="21" t="s">
        <v>50</v>
      </c>
      <c r="U24" s="22"/>
      <c r="V24" s="22"/>
      <c r="W24" s="20" t="s">
        <v>45</v>
      </c>
      <c r="X24" s="19" t="s">
        <v>49</v>
      </c>
      <c r="Y24" s="21" t="s">
        <v>50</v>
      </c>
    </row>
    <row r="25" spans="1:25" ht="16">
      <c r="A25" s="99">
        <v>0.29166666666666669</v>
      </c>
      <c r="B25" s="99" t="s">
        <v>634</v>
      </c>
      <c r="C25" s="97" t="s">
        <v>45</v>
      </c>
      <c r="D25" s="97" t="s">
        <v>46</v>
      </c>
      <c r="E25" s="50"/>
      <c r="F25" s="97"/>
      <c r="G25" s="97"/>
      <c r="H25" s="97"/>
      <c r="I25" s="98" t="b">
        <v>0</v>
      </c>
    </row>
    <row r="26" spans="1:25" ht="16">
      <c r="A26" s="99">
        <v>0.29166666666666669</v>
      </c>
      <c r="B26" s="99">
        <v>0.72916666666666663</v>
      </c>
      <c r="C26" s="97" t="s">
        <v>45</v>
      </c>
      <c r="D26" s="97" t="s">
        <v>46</v>
      </c>
      <c r="E26" s="50"/>
      <c r="F26" s="97"/>
      <c r="G26" s="97"/>
      <c r="H26" s="97"/>
      <c r="I26" s="98" t="b">
        <v>0</v>
      </c>
    </row>
    <row r="27" spans="1:25" ht="16">
      <c r="A27" s="99">
        <v>0.29166666666666669</v>
      </c>
      <c r="B27" s="99">
        <v>0.72916666666666663</v>
      </c>
      <c r="C27" s="97" t="s">
        <v>45</v>
      </c>
      <c r="D27" s="97"/>
      <c r="E27" s="50"/>
      <c r="F27" s="99"/>
      <c r="G27" s="99"/>
      <c r="H27" s="97" t="s">
        <v>45</v>
      </c>
      <c r="I27" s="98" t="b">
        <v>0</v>
      </c>
    </row>
    <row r="28" spans="1:25" ht="16">
      <c r="A28" s="99">
        <v>0.29166666666666669</v>
      </c>
      <c r="B28" s="99">
        <v>0.72916666666666663</v>
      </c>
      <c r="C28" s="97" t="s">
        <v>45</v>
      </c>
      <c r="D28" s="97"/>
      <c r="E28" s="50"/>
      <c r="F28" s="97"/>
      <c r="G28" s="97"/>
      <c r="H28" s="97"/>
      <c r="I28" s="98" t="b">
        <v>0</v>
      </c>
    </row>
    <row r="29" spans="1:25" ht="16">
      <c r="A29" s="99">
        <v>0.29166666666666669</v>
      </c>
      <c r="B29" s="99">
        <v>0.72916666666666663</v>
      </c>
      <c r="C29" s="97" t="s">
        <v>53</v>
      </c>
      <c r="D29" s="97"/>
      <c r="E29" s="50"/>
      <c r="F29" s="97"/>
      <c r="G29" s="97"/>
      <c r="H29" s="97"/>
      <c r="I29" s="98" t="b">
        <v>0</v>
      </c>
    </row>
    <row r="30" spans="1:25" ht="16">
      <c r="A30" s="97">
        <v>700</v>
      </c>
      <c r="B30" s="97">
        <v>1730</v>
      </c>
      <c r="C30" s="97" t="s">
        <v>45</v>
      </c>
      <c r="D30" s="97"/>
      <c r="E30" s="50"/>
      <c r="F30" s="97"/>
      <c r="G30" s="97"/>
      <c r="H30" s="97"/>
      <c r="I30" s="98" t="b">
        <v>0</v>
      </c>
    </row>
    <row r="31" spans="1:25" ht="16">
      <c r="A31" s="97">
        <v>1800</v>
      </c>
      <c r="B31" s="97">
        <v>700</v>
      </c>
      <c r="C31" s="99" t="s">
        <v>54</v>
      </c>
      <c r="D31" s="97" t="s">
        <v>332</v>
      </c>
      <c r="E31" s="50" t="s">
        <v>56</v>
      </c>
      <c r="F31" s="97"/>
      <c r="G31" s="97"/>
      <c r="H31" s="97"/>
      <c r="I31" s="98" t="b">
        <v>0</v>
      </c>
    </row>
    <row r="32" spans="1:25" ht="16">
      <c r="A32" s="412">
        <f>A23+1</f>
        <v>46238</v>
      </c>
      <c r="B32" s="413"/>
      <c r="C32" s="414"/>
      <c r="D32" s="96"/>
      <c r="E32" s="96"/>
      <c r="F32" s="96"/>
      <c r="G32" s="96"/>
      <c r="H32" s="96"/>
      <c r="I32" s="96"/>
    </row>
    <row r="33" spans="1:25" ht="16">
      <c r="A33" s="147" t="s">
        <v>38</v>
      </c>
      <c r="B33" s="147" t="s">
        <v>39</v>
      </c>
      <c r="C33" s="148" t="s">
        <v>40</v>
      </c>
      <c r="D33" s="148" t="s">
        <v>14</v>
      </c>
      <c r="E33" s="149" t="s">
        <v>41</v>
      </c>
      <c r="F33" s="148" t="s">
        <v>42</v>
      </c>
      <c r="G33" s="148" t="s">
        <v>43</v>
      </c>
      <c r="H33" s="148" t="s">
        <v>32</v>
      </c>
      <c r="I33" s="150"/>
    </row>
    <row r="34" spans="1:25" ht="16">
      <c r="A34" s="99">
        <v>0.29166666666666669</v>
      </c>
      <c r="B34" s="99"/>
      <c r="C34" s="97" t="s">
        <v>45</v>
      </c>
      <c r="D34" s="97" t="s">
        <v>46</v>
      </c>
      <c r="E34" s="50"/>
      <c r="F34" s="97"/>
      <c r="G34" s="97"/>
      <c r="H34" s="97"/>
      <c r="I34" s="50"/>
    </row>
    <row r="35" spans="1:25" ht="16">
      <c r="A35" s="99"/>
      <c r="B35" s="99"/>
      <c r="C35" s="97"/>
      <c r="D35" s="97"/>
      <c r="E35" s="50"/>
      <c r="F35" s="97"/>
      <c r="G35" s="97"/>
      <c r="H35" s="97"/>
      <c r="I35" s="50"/>
    </row>
    <row r="36" spans="1:25" ht="16">
      <c r="A36" s="99"/>
      <c r="B36" s="99"/>
      <c r="C36" s="97"/>
      <c r="D36" s="97"/>
      <c r="E36" s="50"/>
      <c r="F36" s="97"/>
      <c r="G36" s="97"/>
      <c r="H36" s="97"/>
      <c r="I36" s="50"/>
    </row>
    <row r="37" spans="1:25" ht="16">
      <c r="A37" s="99"/>
      <c r="B37" s="99"/>
      <c r="C37" s="97"/>
      <c r="D37" s="97"/>
      <c r="E37" s="50"/>
      <c r="F37" s="97"/>
      <c r="G37" s="97"/>
      <c r="H37" s="97"/>
      <c r="I37" s="50"/>
    </row>
    <row r="38" spans="1:25" ht="16">
      <c r="A38" s="99"/>
      <c r="B38" s="99"/>
      <c r="C38" s="99"/>
      <c r="D38" s="97"/>
      <c r="E38" s="50"/>
      <c r="F38" s="97"/>
      <c r="G38" s="97"/>
      <c r="H38" s="97"/>
      <c r="I38" s="50"/>
      <c r="J38" s="21" t="s">
        <v>50</v>
      </c>
      <c r="K38" s="22"/>
      <c r="L38" s="22"/>
      <c r="M38" s="20" t="s">
        <v>45</v>
      </c>
      <c r="N38" s="19" t="s">
        <v>49</v>
      </c>
      <c r="O38" s="21" t="s">
        <v>50</v>
      </c>
      <c r="P38" s="22"/>
      <c r="Q38" s="22"/>
      <c r="R38" s="20" t="s">
        <v>45</v>
      </c>
      <c r="S38" s="19" t="s">
        <v>49</v>
      </c>
      <c r="T38" s="21" t="s">
        <v>50</v>
      </c>
      <c r="U38" s="22"/>
      <c r="V38" s="22"/>
      <c r="W38" s="20" t="s">
        <v>45</v>
      </c>
      <c r="X38" s="19" t="s">
        <v>49</v>
      </c>
      <c r="Y38" s="21" t="s">
        <v>50</v>
      </c>
    </row>
    <row r="39" spans="1:25" ht="16">
      <c r="A39" s="97">
        <v>1800</v>
      </c>
      <c r="B39" s="97">
        <v>700</v>
      </c>
      <c r="C39" s="99" t="s">
        <v>54</v>
      </c>
      <c r="D39" s="97" t="s">
        <v>332</v>
      </c>
      <c r="E39" s="50" t="s">
        <v>56</v>
      </c>
      <c r="F39" s="97"/>
      <c r="G39" s="97"/>
      <c r="H39" s="97"/>
      <c r="I39" s="50"/>
    </row>
    <row r="40" spans="1:25" ht="16">
      <c r="A40" s="415">
        <f>A32+1</f>
        <v>46239</v>
      </c>
      <c r="B40" s="416"/>
      <c r="C40" s="417"/>
      <c r="D40" s="108" t="s">
        <v>335</v>
      </c>
      <c r="E40" s="109"/>
      <c r="F40" s="109"/>
      <c r="G40" s="109"/>
      <c r="H40" s="109"/>
      <c r="I40" s="109"/>
    </row>
    <row r="41" spans="1:25" ht="16">
      <c r="A41" s="147" t="s">
        <v>38</v>
      </c>
      <c r="B41" s="147" t="s">
        <v>39</v>
      </c>
      <c r="C41" s="148" t="s">
        <v>40</v>
      </c>
      <c r="D41" s="148" t="s">
        <v>14</v>
      </c>
      <c r="E41" s="149" t="s">
        <v>41</v>
      </c>
      <c r="F41" s="148" t="s">
        <v>42</v>
      </c>
      <c r="G41" s="148" t="s">
        <v>43</v>
      </c>
      <c r="H41" s="148" t="s">
        <v>32</v>
      </c>
      <c r="I41" s="150"/>
    </row>
    <row r="42" spans="1:25" ht="16">
      <c r="A42" s="99">
        <v>0.29166666666666669</v>
      </c>
      <c r="B42" s="99"/>
      <c r="C42" s="97" t="s">
        <v>45</v>
      </c>
      <c r="D42" s="97" t="s">
        <v>46</v>
      </c>
      <c r="E42" s="50"/>
      <c r="F42" s="97"/>
      <c r="G42" s="97"/>
      <c r="H42" s="97"/>
      <c r="I42" s="98" t="b">
        <v>0</v>
      </c>
    </row>
    <row r="43" spans="1:25" ht="16">
      <c r="A43" s="99"/>
      <c r="B43" s="99"/>
      <c r="C43" s="97"/>
      <c r="D43" s="97" t="s">
        <v>46</v>
      </c>
      <c r="E43" s="50" t="s">
        <v>57</v>
      </c>
      <c r="F43" s="97"/>
      <c r="G43" s="97"/>
      <c r="H43" s="97"/>
      <c r="I43" s="98" t="b">
        <v>0</v>
      </c>
    </row>
    <row r="44" spans="1:25" ht="16">
      <c r="A44" s="99">
        <v>0.29166666666666669</v>
      </c>
      <c r="B44" s="99"/>
      <c r="C44" s="97" t="s">
        <v>53</v>
      </c>
      <c r="D44" s="97"/>
      <c r="E44" s="50"/>
      <c r="F44" s="97"/>
      <c r="G44" s="97"/>
      <c r="H44" s="97"/>
      <c r="I44" s="98" t="b">
        <v>0</v>
      </c>
    </row>
    <row r="45" spans="1:25" ht="16">
      <c r="A45" s="99">
        <v>0.29166666666666669</v>
      </c>
      <c r="B45" s="99"/>
      <c r="C45" s="97" t="s">
        <v>45</v>
      </c>
      <c r="D45" s="97"/>
      <c r="E45" s="50"/>
      <c r="F45" s="99"/>
      <c r="G45" s="99"/>
      <c r="H45" s="97" t="s">
        <v>45</v>
      </c>
      <c r="I45" s="98" t="b">
        <v>0</v>
      </c>
    </row>
    <row r="46" spans="1:25" ht="16">
      <c r="A46" s="99">
        <v>0.29166666666666669</v>
      </c>
      <c r="B46" s="99"/>
      <c r="C46" s="97" t="s">
        <v>53</v>
      </c>
      <c r="D46" s="97"/>
      <c r="E46" s="50"/>
      <c r="F46" s="97"/>
      <c r="G46" s="97"/>
      <c r="H46" s="97"/>
      <c r="I46" s="98" t="b">
        <v>0</v>
      </c>
    </row>
    <row r="47" spans="1:25" ht="16">
      <c r="A47" s="99">
        <v>0.29166666666666669</v>
      </c>
      <c r="B47" s="99"/>
      <c r="C47" s="346" t="s">
        <v>61</v>
      </c>
      <c r="D47" s="97"/>
      <c r="E47" s="50"/>
      <c r="F47" s="97"/>
      <c r="G47" s="97"/>
      <c r="H47" s="97"/>
      <c r="I47" s="98" t="b">
        <v>0</v>
      </c>
    </row>
    <row r="48" spans="1:25" ht="16">
      <c r="A48" s="99"/>
      <c r="B48" s="99"/>
      <c r="C48" s="97" t="s">
        <v>53</v>
      </c>
      <c r="D48" s="97"/>
      <c r="E48" s="50"/>
      <c r="F48" s="97"/>
      <c r="G48" s="97"/>
      <c r="H48" s="97"/>
      <c r="I48" s="98" t="b">
        <v>0</v>
      </c>
    </row>
    <row r="49" spans="1:25" ht="16">
      <c r="A49" s="99"/>
      <c r="B49" s="99"/>
      <c r="C49" s="97" t="s">
        <v>51</v>
      </c>
      <c r="D49" s="97"/>
      <c r="E49" s="50"/>
      <c r="F49" s="97"/>
      <c r="G49" s="97"/>
      <c r="H49" s="97"/>
      <c r="I49" s="98" t="b">
        <v>0</v>
      </c>
    </row>
    <row r="50" spans="1:25" ht="16">
      <c r="A50" s="99"/>
      <c r="B50" s="99"/>
      <c r="C50" s="97" t="s">
        <v>51</v>
      </c>
      <c r="D50" s="97"/>
      <c r="E50" s="50"/>
      <c r="F50" s="97"/>
      <c r="G50" s="97"/>
      <c r="H50" s="97"/>
      <c r="I50" s="98" t="b">
        <v>0</v>
      </c>
    </row>
    <row r="51" spans="1:25" ht="16">
      <c r="A51" s="99"/>
      <c r="B51" s="99"/>
      <c r="C51" s="97" t="s">
        <v>53</v>
      </c>
      <c r="D51" s="97"/>
      <c r="E51" s="50"/>
      <c r="F51" s="97"/>
      <c r="G51" s="97"/>
      <c r="H51" s="97"/>
      <c r="I51" s="98" t="b">
        <v>0</v>
      </c>
    </row>
    <row r="52" spans="1:25" ht="16">
      <c r="A52" s="99"/>
      <c r="B52" s="99"/>
      <c r="C52" s="97" t="s">
        <v>53</v>
      </c>
      <c r="D52" s="97"/>
      <c r="E52" s="50"/>
      <c r="F52" s="97"/>
      <c r="G52" s="97"/>
      <c r="H52" s="97"/>
      <c r="I52" s="98" t="b">
        <v>0</v>
      </c>
    </row>
    <row r="53" spans="1:25" ht="16">
      <c r="A53" s="99"/>
      <c r="B53" s="99"/>
      <c r="C53" s="97" t="s">
        <v>53</v>
      </c>
      <c r="D53" s="97"/>
      <c r="E53" s="50"/>
      <c r="F53" s="97"/>
      <c r="G53" s="97"/>
      <c r="H53" s="97"/>
      <c r="I53" s="98" t="b">
        <v>0</v>
      </c>
      <c r="J53" s="21" t="s">
        <v>50</v>
      </c>
      <c r="K53" s="22"/>
      <c r="L53" s="22"/>
      <c r="M53" s="20" t="s">
        <v>45</v>
      </c>
      <c r="N53" s="19" t="s">
        <v>49</v>
      </c>
      <c r="O53" s="21" t="s">
        <v>50</v>
      </c>
      <c r="P53" s="22"/>
      <c r="Q53" s="22"/>
      <c r="R53" s="20" t="s">
        <v>45</v>
      </c>
      <c r="S53" s="19" t="s">
        <v>49</v>
      </c>
      <c r="T53" s="21" t="s">
        <v>50</v>
      </c>
      <c r="U53" s="22"/>
      <c r="V53" s="22"/>
      <c r="W53" s="20" t="s">
        <v>45</v>
      </c>
      <c r="X53" s="19" t="s">
        <v>49</v>
      </c>
      <c r="Y53" s="21" t="s">
        <v>50</v>
      </c>
    </row>
    <row r="54" spans="1:25" ht="16">
      <c r="A54" s="99"/>
      <c r="B54" s="99"/>
      <c r="C54" s="97" t="s">
        <v>51</v>
      </c>
      <c r="D54" s="97"/>
      <c r="E54" s="50"/>
      <c r="F54" s="97"/>
      <c r="G54" s="97"/>
      <c r="H54" s="97"/>
      <c r="I54" s="98" t="b">
        <v>0</v>
      </c>
    </row>
    <row r="55" spans="1:25" ht="16">
      <c r="A55" s="99"/>
      <c r="B55" s="99"/>
      <c r="C55" s="97" t="s">
        <v>51</v>
      </c>
      <c r="D55" s="97"/>
      <c r="E55" s="50"/>
      <c r="F55" s="97"/>
      <c r="G55" s="97"/>
      <c r="H55" s="97"/>
      <c r="I55" s="98" t="b">
        <v>0</v>
      </c>
    </row>
    <row r="56" spans="1:25" ht="16">
      <c r="A56" s="99"/>
      <c r="B56" s="99"/>
      <c r="C56" s="97" t="s">
        <v>53</v>
      </c>
      <c r="D56" s="97"/>
      <c r="E56" s="50"/>
      <c r="F56" s="97"/>
      <c r="G56" s="97"/>
      <c r="H56" s="97"/>
      <c r="I56" s="98" t="b">
        <v>0</v>
      </c>
    </row>
    <row r="57" spans="1:25" ht="16">
      <c r="A57" s="99"/>
      <c r="B57" s="99"/>
      <c r="C57" s="97" t="s">
        <v>51</v>
      </c>
      <c r="D57" s="97"/>
      <c r="E57" s="50"/>
      <c r="F57" s="97"/>
      <c r="G57" s="97"/>
      <c r="H57" s="97"/>
      <c r="I57" s="98" t="b">
        <v>0</v>
      </c>
    </row>
    <row r="58" spans="1:25" ht="16">
      <c r="A58" s="99"/>
      <c r="B58" s="99"/>
      <c r="C58" s="97" t="s">
        <v>53</v>
      </c>
      <c r="D58" s="97"/>
      <c r="E58" s="50"/>
      <c r="F58" s="97"/>
      <c r="G58" s="97"/>
      <c r="H58" s="97"/>
      <c r="I58" s="98" t="b">
        <v>0</v>
      </c>
    </row>
    <row r="59" spans="1:25" ht="16">
      <c r="A59" s="97">
        <v>1200</v>
      </c>
      <c r="B59" s="97">
        <v>1400</v>
      </c>
      <c r="C59" s="97" t="s">
        <v>51</v>
      </c>
      <c r="D59" s="97"/>
      <c r="E59" s="50"/>
      <c r="F59" s="97"/>
      <c r="G59" s="97"/>
      <c r="H59" s="97"/>
      <c r="I59" s="98" t="b">
        <v>0</v>
      </c>
    </row>
    <row r="60" spans="1:25" ht="16">
      <c r="A60" s="99"/>
      <c r="B60" s="99"/>
      <c r="C60" s="97" t="s">
        <v>53</v>
      </c>
      <c r="D60" s="97"/>
      <c r="E60" s="50"/>
      <c r="F60" s="97"/>
      <c r="G60" s="97"/>
      <c r="H60" s="97"/>
      <c r="I60" s="98" t="b">
        <v>0</v>
      </c>
    </row>
    <row r="61" spans="1:25" ht="16">
      <c r="A61" s="97">
        <v>1800</v>
      </c>
      <c r="B61" s="97">
        <v>700</v>
      </c>
      <c r="C61" s="99" t="s">
        <v>54</v>
      </c>
      <c r="D61" s="97" t="s">
        <v>332</v>
      </c>
      <c r="E61" s="50" t="s">
        <v>56</v>
      </c>
      <c r="F61" s="97"/>
      <c r="G61" s="97"/>
      <c r="H61" s="97"/>
      <c r="I61" s="98" t="b">
        <v>0</v>
      </c>
    </row>
    <row r="62" spans="1:25" ht="16">
      <c r="A62" s="415">
        <f>A40+1</f>
        <v>46240</v>
      </c>
      <c r="B62" s="416"/>
      <c r="C62" s="417"/>
      <c r="D62" s="110" t="s">
        <v>336</v>
      </c>
      <c r="E62" s="111"/>
      <c r="F62" s="111"/>
      <c r="G62" s="111"/>
      <c r="H62" s="111"/>
      <c r="I62" s="109"/>
    </row>
    <row r="63" spans="1:25" ht="16">
      <c r="A63" s="147" t="s">
        <v>38</v>
      </c>
      <c r="B63" s="147" t="s">
        <v>39</v>
      </c>
      <c r="C63" s="148" t="s">
        <v>40</v>
      </c>
      <c r="D63" s="148" t="s">
        <v>14</v>
      </c>
      <c r="E63" s="149" t="s">
        <v>41</v>
      </c>
      <c r="F63" s="148" t="s">
        <v>42</v>
      </c>
      <c r="G63" s="148" t="s">
        <v>43</v>
      </c>
      <c r="H63" s="148" t="s">
        <v>32</v>
      </c>
      <c r="I63" s="150"/>
    </row>
    <row r="64" spans="1:25" ht="16">
      <c r="A64" s="99"/>
      <c r="B64" s="99"/>
      <c r="C64" s="97" t="s">
        <v>45</v>
      </c>
      <c r="D64" s="97" t="s">
        <v>46</v>
      </c>
      <c r="E64" s="50"/>
      <c r="F64" s="97"/>
      <c r="G64" s="97"/>
      <c r="H64" s="97"/>
      <c r="I64" s="98" t="b">
        <v>0</v>
      </c>
    </row>
    <row r="65" spans="1:25" ht="16">
      <c r="A65" s="99"/>
      <c r="B65" s="99"/>
      <c r="C65" s="97" t="s">
        <v>45</v>
      </c>
      <c r="D65" s="97"/>
      <c r="E65" s="50"/>
      <c r="F65" s="97"/>
      <c r="G65" s="97"/>
      <c r="H65" s="97"/>
      <c r="I65" s="98" t="b">
        <v>0</v>
      </c>
    </row>
    <row r="66" spans="1:25" ht="16">
      <c r="A66" s="99"/>
      <c r="B66" s="99"/>
      <c r="C66" s="97" t="s">
        <v>45</v>
      </c>
      <c r="D66" s="97"/>
      <c r="E66" s="50"/>
      <c r="F66" s="99"/>
      <c r="G66" s="99"/>
      <c r="H66" s="97" t="s">
        <v>45</v>
      </c>
      <c r="I66" s="98" t="b">
        <v>0</v>
      </c>
    </row>
    <row r="67" spans="1:25" ht="16">
      <c r="A67" s="97">
        <v>700</v>
      </c>
      <c r="B67" s="97">
        <v>1700</v>
      </c>
      <c r="C67" s="97" t="s">
        <v>53</v>
      </c>
      <c r="D67" s="97"/>
      <c r="E67" s="50"/>
      <c r="F67" s="97"/>
      <c r="G67" s="97"/>
      <c r="H67" s="97"/>
      <c r="I67" s="98" t="b">
        <v>0</v>
      </c>
    </row>
    <row r="68" spans="1:25" ht="16">
      <c r="A68" s="99"/>
      <c r="B68" s="99"/>
      <c r="C68" s="97" t="s">
        <v>53</v>
      </c>
      <c r="D68" s="97"/>
      <c r="E68" s="50"/>
      <c r="F68" s="97"/>
      <c r="G68" s="97"/>
      <c r="H68" s="97"/>
      <c r="I68" s="98" t="b">
        <v>0</v>
      </c>
    </row>
    <row r="69" spans="1:25" ht="16">
      <c r="A69" s="99"/>
      <c r="B69" s="99"/>
      <c r="C69" s="97" t="s">
        <v>53</v>
      </c>
      <c r="D69" s="97"/>
      <c r="E69" s="50"/>
      <c r="F69" s="97"/>
      <c r="G69" s="97"/>
      <c r="H69" s="97"/>
      <c r="I69" s="98" t="b">
        <v>0</v>
      </c>
    </row>
    <row r="70" spans="1:25" ht="16">
      <c r="A70" s="99"/>
      <c r="B70" s="99"/>
      <c r="C70" s="97" t="s">
        <v>51</v>
      </c>
      <c r="D70" s="97"/>
      <c r="E70" s="50"/>
      <c r="F70" s="97"/>
      <c r="G70" s="97"/>
      <c r="H70" s="97"/>
      <c r="I70" s="98" t="b">
        <v>0</v>
      </c>
    </row>
    <row r="71" spans="1:25" ht="16">
      <c r="A71" s="99"/>
      <c r="B71" s="99"/>
      <c r="C71" s="97" t="s">
        <v>53</v>
      </c>
      <c r="D71" s="97"/>
      <c r="E71" s="50"/>
      <c r="F71" s="97"/>
      <c r="G71" s="97"/>
      <c r="H71" s="97"/>
      <c r="I71" s="98" t="b">
        <v>0</v>
      </c>
    </row>
    <row r="72" spans="1:25" ht="16">
      <c r="A72" s="99"/>
      <c r="B72" s="99"/>
      <c r="C72" s="97" t="s">
        <v>51</v>
      </c>
      <c r="D72" s="97"/>
      <c r="E72" s="50"/>
      <c r="F72" s="97"/>
      <c r="G72" s="97"/>
      <c r="H72" s="97"/>
      <c r="I72" s="98" t="b">
        <v>0</v>
      </c>
      <c r="J72" s="28"/>
      <c r="K72" s="28"/>
      <c r="L72" s="28"/>
      <c r="M72" s="28"/>
      <c r="N72" s="28"/>
    </row>
    <row r="73" spans="1:25" ht="16">
      <c r="A73" s="99"/>
      <c r="B73" s="99"/>
      <c r="C73" s="97" t="s">
        <v>45</v>
      </c>
      <c r="D73" s="97"/>
      <c r="E73" s="50"/>
      <c r="F73" s="97"/>
      <c r="G73" s="97"/>
      <c r="H73" s="97"/>
      <c r="I73" s="98" t="b">
        <v>0</v>
      </c>
      <c r="J73" s="28"/>
      <c r="K73" s="28"/>
      <c r="L73" s="28"/>
      <c r="M73" s="28"/>
      <c r="N73" s="28"/>
    </row>
    <row r="74" spans="1:25" ht="16">
      <c r="A74" s="99"/>
      <c r="B74" s="99"/>
      <c r="C74" s="97" t="s">
        <v>53</v>
      </c>
      <c r="D74" s="97"/>
      <c r="E74" s="50"/>
      <c r="F74" s="97"/>
      <c r="G74" s="97"/>
      <c r="H74" s="97"/>
      <c r="I74" s="98" t="b">
        <v>0</v>
      </c>
      <c r="J74" s="21" t="s">
        <v>50</v>
      </c>
      <c r="K74" s="22"/>
      <c r="L74" s="22"/>
      <c r="M74" s="20" t="s">
        <v>45</v>
      </c>
      <c r="N74" s="19" t="s">
        <v>49</v>
      </c>
      <c r="O74" s="21" t="s">
        <v>50</v>
      </c>
      <c r="P74" s="22"/>
      <c r="Q74" s="22"/>
      <c r="R74" s="20" t="s">
        <v>45</v>
      </c>
      <c r="S74" s="19" t="s">
        <v>49</v>
      </c>
      <c r="T74" s="21" t="s">
        <v>50</v>
      </c>
      <c r="U74" s="22"/>
      <c r="V74" s="22"/>
      <c r="W74" s="20" t="s">
        <v>45</v>
      </c>
      <c r="X74" s="19" t="s">
        <v>49</v>
      </c>
      <c r="Y74" s="21" t="s">
        <v>50</v>
      </c>
    </row>
    <row r="75" spans="1:25" ht="16">
      <c r="A75" s="99"/>
      <c r="B75" s="99"/>
      <c r="C75" s="97" t="s">
        <v>51</v>
      </c>
      <c r="D75" s="97"/>
      <c r="E75" s="50"/>
      <c r="F75" s="97"/>
      <c r="G75" s="97"/>
      <c r="H75" s="97"/>
      <c r="I75" s="98" t="b">
        <v>0</v>
      </c>
      <c r="J75" s="28"/>
      <c r="K75" s="28"/>
      <c r="L75" s="28"/>
      <c r="M75" s="28"/>
      <c r="N75" s="28"/>
    </row>
    <row r="76" spans="1:25" ht="16">
      <c r="A76" s="99"/>
      <c r="B76" s="99"/>
      <c r="C76" s="97" t="s">
        <v>45</v>
      </c>
      <c r="D76" s="97"/>
      <c r="E76" s="50"/>
      <c r="F76" s="97"/>
      <c r="G76" s="97"/>
      <c r="H76" s="97"/>
      <c r="I76" s="98" t="b">
        <v>0</v>
      </c>
      <c r="J76" s="28"/>
      <c r="K76" s="28"/>
      <c r="L76" s="28"/>
      <c r="M76" s="28"/>
      <c r="N76" s="28"/>
    </row>
    <row r="77" spans="1:25" ht="16">
      <c r="A77" s="97">
        <v>1800</v>
      </c>
      <c r="B77" s="97">
        <v>700</v>
      </c>
      <c r="C77" s="97" t="s">
        <v>54</v>
      </c>
      <c r="D77" s="97" t="s">
        <v>55</v>
      </c>
      <c r="E77" s="50" t="s">
        <v>56</v>
      </c>
      <c r="F77" s="97"/>
      <c r="G77" s="97"/>
      <c r="H77" s="97"/>
      <c r="I77" s="98" t="b">
        <v>0</v>
      </c>
      <c r="J77" s="28"/>
      <c r="K77" s="28"/>
      <c r="L77" s="28"/>
      <c r="M77" s="28"/>
      <c r="N77" s="28"/>
    </row>
    <row r="78" spans="1:25" ht="16">
      <c r="A78" s="418">
        <f>A62+1</f>
        <v>46241</v>
      </c>
      <c r="B78" s="416"/>
      <c r="C78" s="417"/>
      <c r="D78" s="112" t="s">
        <v>58</v>
      </c>
      <c r="E78" s="113"/>
      <c r="F78" s="113"/>
      <c r="G78" s="113"/>
      <c r="H78" s="113"/>
      <c r="I78" s="113"/>
      <c r="J78" s="28"/>
      <c r="K78" s="28"/>
      <c r="L78" s="28"/>
      <c r="M78" s="28"/>
      <c r="N78" s="28"/>
    </row>
    <row r="79" spans="1:25" ht="16">
      <c r="A79" s="147" t="s">
        <v>38</v>
      </c>
      <c r="B79" s="147" t="s">
        <v>39</v>
      </c>
      <c r="C79" s="148" t="s">
        <v>40</v>
      </c>
      <c r="D79" s="148" t="s">
        <v>14</v>
      </c>
      <c r="E79" s="149" t="s">
        <v>41</v>
      </c>
      <c r="F79" s="148" t="s">
        <v>42</v>
      </c>
      <c r="G79" s="148" t="s">
        <v>43</v>
      </c>
      <c r="H79" s="148" t="s">
        <v>32</v>
      </c>
      <c r="I79" s="150"/>
      <c r="J79" s="28"/>
      <c r="K79" s="28"/>
      <c r="L79" s="28"/>
      <c r="M79" s="28"/>
      <c r="N79" s="28"/>
    </row>
    <row r="80" spans="1:25" ht="16">
      <c r="A80" s="99">
        <v>0.29166666666666669</v>
      </c>
      <c r="B80" s="99"/>
      <c r="C80" s="97" t="s">
        <v>61</v>
      </c>
      <c r="D80" s="97" t="s">
        <v>46</v>
      </c>
      <c r="E80" s="50"/>
      <c r="F80" s="97"/>
      <c r="G80" s="97"/>
      <c r="H80" s="97"/>
      <c r="I80" s="98" t="b">
        <v>0</v>
      </c>
      <c r="J80" s="28"/>
      <c r="K80" s="28"/>
      <c r="L80" s="28"/>
      <c r="M80" s="28"/>
      <c r="N80" s="28"/>
    </row>
    <row r="81" spans="1:25" ht="16">
      <c r="A81" s="99">
        <v>0.29166666666666669</v>
      </c>
      <c r="B81" s="99"/>
      <c r="C81" s="97" t="s">
        <v>45</v>
      </c>
      <c r="D81" s="97"/>
      <c r="E81" s="50"/>
      <c r="F81" s="97"/>
      <c r="G81" s="97"/>
      <c r="H81" s="97"/>
      <c r="I81" s="98" t="b">
        <v>0</v>
      </c>
      <c r="J81" s="28"/>
      <c r="K81" s="28"/>
      <c r="L81" s="28"/>
      <c r="M81" s="28"/>
      <c r="N81" s="28"/>
    </row>
    <row r="82" spans="1:25" ht="16">
      <c r="A82" s="99">
        <v>0.29166666666666669</v>
      </c>
      <c r="B82" s="99"/>
      <c r="C82" s="97" t="s">
        <v>45</v>
      </c>
      <c r="D82" s="97"/>
      <c r="E82" s="50"/>
      <c r="F82" s="99"/>
      <c r="G82" s="99"/>
      <c r="H82" s="97" t="s">
        <v>45</v>
      </c>
      <c r="I82" s="98" t="b">
        <v>0</v>
      </c>
      <c r="J82" s="28"/>
      <c r="K82" s="28"/>
      <c r="L82" s="28"/>
      <c r="M82" s="28"/>
      <c r="N82" s="28"/>
    </row>
    <row r="83" spans="1:25" ht="16">
      <c r="A83" s="99">
        <v>0.375</v>
      </c>
      <c r="B83" s="99"/>
      <c r="C83" s="97" t="s">
        <v>45</v>
      </c>
      <c r="D83" s="97"/>
      <c r="E83" s="50"/>
      <c r="F83" s="99"/>
      <c r="G83" s="99"/>
      <c r="H83" s="97"/>
      <c r="I83" s="98" t="b">
        <v>0</v>
      </c>
      <c r="J83" s="28"/>
      <c r="K83" s="28"/>
      <c r="L83" s="28"/>
      <c r="M83" s="28"/>
      <c r="N83" s="28"/>
    </row>
    <row r="84" spans="1:25" ht="16">
      <c r="A84" s="99"/>
      <c r="B84" s="99"/>
      <c r="C84" s="97"/>
      <c r="D84" s="97"/>
      <c r="E84" s="50"/>
      <c r="F84" s="99"/>
      <c r="G84" s="99"/>
      <c r="H84" s="97"/>
      <c r="I84" s="98" t="b">
        <v>0</v>
      </c>
      <c r="J84" s="28"/>
      <c r="K84" s="28"/>
      <c r="L84" s="28"/>
      <c r="M84" s="28"/>
      <c r="N84" s="28"/>
    </row>
    <row r="85" spans="1:25" ht="16">
      <c r="A85" s="99">
        <v>0.29166666666666669</v>
      </c>
      <c r="B85" s="99"/>
      <c r="C85" s="97" t="s">
        <v>53</v>
      </c>
      <c r="D85" s="97"/>
      <c r="E85" s="50"/>
      <c r="F85" s="97"/>
      <c r="G85" s="97"/>
      <c r="H85" s="97"/>
      <c r="I85" s="98" t="b">
        <v>0</v>
      </c>
      <c r="J85" s="28"/>
      <c r="K85" s="28"/>
      <c r="L85" s="28"/>
      <c r="M85" s="28"/>
      <c r="N85" s="28"/>
    </row>
    <row r="86" spans="1:25" ht="16">
      <c r="A86" s="99">
        <v>0.29166666666666669</v>
      </c>
      <c r="B86" s="99"/>
      <c r="C86" s="97" t="s">
        <v>45</v>
      </c>
      <c r="D86" s="97"/>
      <c r="E86" s="50"/>
      <c r="F86" s="97"/>
      <c r="G86" s="97"/>
      <c r="H86" s="97"/>
      <c r="I86" s="98" t="b">
        <v>0</v>
      </c>
    </row>
    <row r="87" spans="1:25" ht="16">
      <c r="A87" s="99">
        <v>0.54166666666666663</v>
      </c>
      <c r="B87" s="99"/>
      <c r="C87" s="97" t="s">
        <v>45</v>
      </c>
      <c r="D87" s="97"/>
      <c r="E87" s="50"/>
      <c r="F87" s="97"/>
      <c r="G87" s="97"/>
      <c r="H87" s="97"/>
      <c r="I87" s="98" t="b">
        <v>0</v>
      </c>
    </row>
    <row r="88" spans="1:25" ht="16">
      <c r="A88" s="103">
        <v>0.29166666666666669</v>
      </c>
      <c r="B88" s="99"/>
      <c r="C88" s="97" t="s">
        <v>53</v>
      </c>
      <c r="D88" s="97"/>
      <c r="E88" s="50"/>
      <c r="F88" s="97"/>
      <c r="G88" s="97"/>
      <c r="H88" s="97"/>
      <c r="I88" s="98" t="b">
        <v>0</v>
      </c>
      <c r="J88" s="28"/>
      <c r="K88" s="28"/>
      <c r="L88" s="28"/>
      <c r="M88" s="28"/>
      <c r="N88" s="28"/>
    </row>
    <row r="89" spans="1:25" ht="16">
      <c r="A89" s="99">
        <v>0.41666666666666669</v>
      </c>
      <c r="B89" s="99"/>
      <c r="C89" s="97" t="s">
        <v>45</v>
      </c>
      <c r="D89" s="97"/>
      <c r="E89" s="50"/>
      <c r="F89" s="97"/>
      <c r="G89" s="97"/>
      <c r="H89" s="97"/>
      <c r="I89" s="98" t="b">
        <v>0</v>
      </c>
      <c r="J89" s="28"/>
      <c r="K89" s="28"/>
      <c r="L89" s="28"/>
      <c r="M89" s="28"/>
      <c r="N89" s="28"/>
    </row>
    <row r="90" spans="1:25" ht="16">
      <c r="A90" s="99"/>
      <c r="B90" s="99"/>
      <c r="C90" s="97" t="s">
        <v>59</v>
      </c>
      <c r="D90" s="97"/>
      <c r="E90" s="50"/>
      <c r="F90" s="97"/>
      <c r="G90" s="97"/>
      <c r="H90" s="97"/>
      <c r="I90" s="98" t="b">
        <v>0</v>
      </c>
      <c r="J90" s="21" t="s">
        <v>50</v>
      </c>
      <c r="K90" s="22"/>
      <c r="L90" s="22"/>
      <c r="M90" s="20" t="s">
        <v>45</v>
      </c>
      <c r="N90" s="19" t="s">
        <v>49</v>
      </c>
      <c r="O90" s="21" t="s">
        <v>50</v>
      </c>
      <c r="P90" s="22"/>
      <c r="Q90" s="22"/>
      <c r="R90" s="20" t="s">
        <v>45</v>
      </c>
      <c r="S90" s="19" t="s">
        <v>49</v>
      </c>
      <c r="T90" s="21" t="s">
        <v>50</v>
      </c>
      <c r="U90" s="22"/>
      <c r="V90" s="22"/>
      <c r="W90" s="20" t="s">
        <v>45</v>
      </c>
      <c r="X90" s="19" t="s">
        <v>49</v>
      </c>
      <c r="Y90" s="21" t="s">
        <v>50</v>
      </c>
    </row>
    <row r="91" spans="1:25" ht="16">
      <c r="A91" s="99"/>
      <c r="B91" s="99"/>
      <c r="C91" s="97"/>
      <c r="D91" s="104"/>
      <c r="E91" s="105"/>
      <c r="F91" s="97"/>
      <c r="G91" s="97"/>
      <c r="H91" s="97"/>
      <c r="I91" s="98" t="b">
        <v>0</v>
      </c>
      <c r="J91" s="23"/>
      <c r="K91" s="24"/>
      <c r="L91" s="24"/>
      <c r="M91" s="25"/>
      <c r="N91" s="26"/>
      <c r="O91" s="23"/>
      <c r="P91" s="24"/>
      <c r="Q91" s="24"/>
      <c r="R91" s="25"/>
      <c r="S91" s="26"/>
      <c r="T91" s="23"/>
      <c r="U91" s="24"/>
      <c r="V91" s="24"/>
      <c r="W91" s="25"/>
      <c r="X91" s="26"/>
      <c r="Y91" s="23"/>
    </row>
    <row r="92" spans="1:25" ht="16">
      <c r="A92" s="99"/>
      <c r="B92" s="99"/>
      <c r="C92" s="97"/>
      <c r="D92" s="104"/>
      <c r="E92" s="105"/>
      <c r="F92" s="97"/>
      <c r="G92" s="97"/>
      <c r="H92" s="97"/>
      <c r="I92" s="98" t="b">
        <v>0</v>
      </c>
      <c r="J92" s="23"/>
      <c r="K92" s="24"/>
      <c r="L92" s="24"/>
      <c r="M92" s="25"/>
      <c r="N92" s="26"/>
      <c r="O92" s="23"/>
      <c r="P92" s="24"/>
      <c r="Q92" s="24"/>
      <c r="R92" s="25"/>
      <c r="S92" s="26"/>
      <c r="T92" s="23"/>
      <c r="U92" s="24"/>
      <c r="V92" s="24"/>
      <c r="W92" s="25"/>
      <c r="X92" s="26"/>
      <c r="Y92" s="23"/>
    </row>
    <row r="93" spans="1:25" ht="16">
      <c r="A93" s="99"/>
      <c r="B93" s="99"/>
      <c r="C93" s="97"/>
      <c r="D93" s="104"/>
      <c r="E93" s="102"/>
      <c r="F93" s="97"/>
      <c r="G93" s="97"/>
      <c r="H93" s="97"/>
      <c r="I93" s="98" t="b">
        <v>0</v>
      </c>
      <c r="J93" s="28"/>
      <c r="K93" s="28"/>
      <c r="L93" s="28"/>
      <c r="M93" s="28"/>
      <c r="N93" s="28"/>
    </row>
    <row r="94" spans="1:25" ht="16">
      <c r="A94" s="99"/>
      <c r="B94" s="99"/>
      <c r="C94" s="97"/>
      <c r="D94" s="104"/>
      <c r="E94" s="102"/>
      <c r="F94" s="97"/>
      <c r="G94" s="97"/>
      <c r="H94" s="97"/>
      <c r="I94" s="98" t="b">
        <v>0</v>
      </c>
      <c r="J94" s="28"/>
      <c r="K94" s="28"/>
      <c r="L94" s="28"/>
      <c r="M94" s="28"/>
      <c r="N94" s="28"/>
    </row>
    <row r="95" spans="1:25" ht="16">
      <c r="A95" s="99"/>
      <c r="B95" s="99"/>
      <c r="C95" s="97"/>
      <c r="D95" s="104"/>
      <c r="E95" s="102"/>
      <c r="F95" s="97"/>
      <c r="G95" s="97"/>
      <c r="H95" s="97"/>
      <c r="I95" s="98" t="b">
        <v>0</v>
      </c>
      <c r="J95" s="28"/>
      <c r="K95" s="28"/>
      <c r="L95" s="28"/>
      <c r="M95" s="28"/>
      <c r="N95" s="28"/>
    </row>
    <row r="96" spans="1:25" ht="16">
      <c r="A96" s="99"/>
      <c r="B96" s="99"/>
      <c r="C96" s="97"/>
      <c r="D96" s="104"/>
      <c r="E96" s="102"/>
      <c r="F96" s="97"/>
      <c r="G96" s="97"/>
      <c r="H96" s="97"/>
      <c r="I96" s="98" t="b">
        <v>0</v>
      </c>
      <c r="J96" s="28"/>
      <c r="K96" s="28"/>
      <c r="L96" s="28"/>
      <c r="M96" s="28"/>
      <c r="N96" s="28"/>
    </row>
    <row r="97" spans="1:14" ht="16">
      <c r="A97" s="99">
        <v>0.9375</v>
      </c>
      <c r="B97" s="99"/>
      <c r="C97" s="97"/>
      <c r="D97" s="104"/>
      <c r="E97" s="102"/>
      <c r="F97" s="97"/>
      <c r="G97" s="97"/>
      <c r="H97" s="97"/>
      <c r="I97" s="98" t="b">
        <v>0</v>
      </c>
      <c r="J97" s="28"/>
      <c r="K97" s="28"/>
      <c r="L97" s="28"/>
      <c r="M97" s="28"/>
      <c r="N97" s="28"/>
    </row>
    <row r="98" spans="1:14" ht="16">
      <c r="A98" s="99"/>
      <c r="B98" s="99"/>
      <c r="C98" s="97" t="s">
        <v>60</v>
      </c>
      <c r="D98" s="106"/>
      <c r="E98" s="107"/>
      <c r="F98" s="97"/>
      <c r="G98" s="97"/>
      <c r="H98" s="97"/>
      <c r="I98" s="98" t="b">
        <v>0</v>
      </c>
      <c r="J98" s="28"/>
      <c r="K98" s="28"/>
      <c r="L98" s="28"/>
      <c r="M98" s="28"/>
      <c r="N98" s="28"/>
    </row>
    <row r="99" spans="1:14" ht="16">
      <c r="A99" s="99"/>
      <c r="B99" s="99"/>
      <c r="C99" s="97" t="s">
        <v>60</v>
      </c>
      <c r="D99" s="106"/>
      <c r="E99" s="107"/>
      <c r="F99" s="97"/>
      <c r="G99" s="97"/>
      <c r="H99" s="97"/>
      <c r="I99" s="98" t="b">
        <v>0</v>
      </c>
      <c r="J99" s="28"/>
      <c r="K99" s="28"/>
      <c r="L99" s="28"/>
      <c r="M99" s="28"/>
      <c r="N99" s="28"/>
    </row>
    <row r="100" spans="1:14" ht="16">
      <c r="A100" s="100">
        <v>0.9375</v>
      </c>
      <c r="B100" s="100">
        <v>4.1666666666666664E-2</v>
      </c>
      <c r="C100" s="97" t="s">
        <v>53</v>
      </c>
      <c r="D100" s="97"/>
      <c r="E100" s="50"/>
      <c r="F100" s="97"/>
      <c r="G100" s="97"/>
      <c r="H100" s="97"/>
      <c r="I100" s="98" t="b">
        <v>0</v>
      </c>
      <c r="J100" s="28"/>
      <c r="K100" s="28"/>
      <c r="L100" s="28"/>
      <c r="M100" s="28"/>
      <c r="N100" s="28"/>
    </row>
    <row r="101" spans="1:14" ht="16">
      <c r="A101" s="97">
        <v>1800</v>
      </c>
      <c r="B101" s="97">
        <v>700</v>
      </c>
      <c r="C101" s="97" t="s">
        <v>54</v>
      </c>
      <c r="D101" s="97" t="s">
        <v>525</v>
      </c>
      <c r="E101" s="50" t="s">
        <v>527</v>
      </c>
      <c r="F101" s="97"/>
      <c r="G101" s="97"/>
      <c r="H101" s="97"/>
      <c r="I101" s="98" t="b">
        <v>0</v>
      </c>
      <c r="J101" s="28"/>
      <c r="K101" s="28"/>
      <c r="L101" s="28"/>
      <c r="M101" s="28"/>
      <c r="N101" s="28"/>
    </row>
    <row r="102" spans="1:14" ht="16">
      <c r="A102" s="412">
        <f>A78+1</f>
        <v>46242</v>
      </c>
      <c r="B102" s="413"/>
      <c r="C102" s="414"/>
      <c r="D102" s="101"/>
      <c r="E102" s="101"/>
      <c r="F102" s="101"/>
      <c r="G102" s="101"/>
      <c r="H102" s="101"/>
      <c r="I102" s="96"/>
      <c r="J102" s="28"/>
      <c r="K102" s="28"/>
      <c r="L102" s="28"/>
      <c r="M102" s="28"/>
      <c r="N102" s="28"/>
    </row>
    <row r="103" spans="1:14" ht="16">
      <c r="A103" s="147" t="s">
        <v>38</v>
      </c>
      <c r="B103" s="147" t="s">
        <v>39</v>
      </c>
      <c r="C103" s="148" t="s">
        <v>40</v>
      </c>
      <c r="D103" s="148" t="s">
        <v>14</v>
      </c>
      <c r="E103" s="149" t="s">
        <v>41</v>
      </c>
      <c r="F103" s="148" t="s">
        <v>42</v>
      </c>
      <c r="G103" s="148" t="s">
        <v>43</v>
      </c>
      <c r="H103" s="148" t="s">
        <v>32</v>
      </c>
      <c r="I103" s="150"/>
      <c r="J103" s="28"/>
      <c r="K103" s="28"/>
      <c r="L103" s="28"/>
      <c r="M103" s="28"/>
      <c r="N103" s="28"/>
    </row>
    <row r="104" spans="1:14" ht="16">
      <c r="A104" s="99"/>
      <c r="B104" s="99"/>
      <c r="C104" s="97" t="s">
        <v>45</v>
      </c>
      <c r="D104" s="97" t="s">
        <v>46</v>
      </c>
      <c r="E104" s="50"/>
      <c r="F104" s="97"/>
      <c r="G104" s="97"/>
      <c r="H104" s="97"/>
      <c r="I104" s="98" t="b">
        <v>0</v>
      </c>
      <c r="J104" s="28"/>
      <c r="K104" s="28"/>
      <c r="L104" s="28"/>
      <c r="M104" s="28"/>
      <c r="N104" s="28"/>
    </row>
    <row r="105" spans="1:14" ht="16">
      <c r="A105" s="99"/>
      <c r="B105" s="99"/>
      <c r="C105" s="20"/>
      <c r="D105" s="97"/>
      <c r="E105" s="50"/>
      <c r="F105" s="97"/>
      <c r="G105" s="97"/>
      <c r="H105" s="97"/>
      <c r="I105" s="98" t="b">
        <v>0</v>
      </c>
      <c r="J105" s="28"/>
      <c r="K105" s="28"/>
      <c r="L105" s="28"/>
      <c r="M105" s="28"/>
      <c r="N105" s="28"/>
    </row>
    <row r="106" spans="1:14" ht="16">
      <c r="A106" s="99"/>
      <c r="B106" s="99"/>
      <c r="C106" s="97" t="s">
        <v>61</v>
      </c>
      <c r="D106" s="97"/>
      <c r="E106" s="50"/>
      <c r="F106" s="97"/>
      <c r="G106" s="97"/>
      <c r="H106" s="97"/>
      <c r="I106" s="98" t="b">
        <v>0</v>
      </c>
      <c r="J106" s="28"/>
      <c r="K106" s="28"/>
      <c r="L106" s="28"/>
      <c r="M106" s="28"/>
      <c r="N106" s="28"/>
    </row>
    <row r="107" spans="1:14" ht="16">
      <c r="A107" s="99"/>
      <c r="B107" s="99"/>
      <c r="C107" s="97" t="s">
        <v>60</v>
      </c>
      <c r="D107" s="97"/>
      <c r="E107" s="50"/>
      <c r="F107" s="97"/>
      <c r="G107" s="97"/>
      <c r="H107" s="97"/>
      <c r="I107" s="98" t="b">
        <v>0</v>
      </c>
      <c r="J107" s="28"/>
      <c r="K107" s="28"/>
      <c r="L107" s="28"/>
      <c r="M107" s="28"/>
      <c r="N107" s="28"/>
    </row>
    <row r="108" spans="1:14" ht="16">
      <c r="A108" s="99"/>
      <c r="B108" s="99"/>
      <c r="C108" s="97" t="s">
        <v>61</v>
      </c>
      <c r="D108" s="97"/>
      <c r="E108" s="50"/>
      <c r="F108" s="97"/>
      <c r="G108" s="97"/>
      <c r="H108" s="97"/>
      <c r="I108" s="98" t="b">
        <v>0</v>
      </c>
      <c r="J108" s="28"/>
      <c r="K108" s="28"/>
      <c r="L108" s="28"/>
      <c r="M108" s="28"/>
      <c r="N108" s="28"/>
    </row>
    <row r="109" spans="1:14" ht="16">
      <c r="A109" s="99"/>
      <c r="B109" s="99"/>
      <c r="C109" s="97" t="s">
        <v>45</v>
      </c>
      <c r="D109" s="97"/>
      <c r="E109" s="50"/>
      <c r="F109" s="97"/>
      <c r="G109" s="97"/>
      <c r="H109" s="97"/>
      <c r="I109" s="98" t="b">
        <v>0</v>
      </c>
      <c r="J109" s="28"/>
      <c r="K109" s="28"/>
      <c r="L109" s="28"/>
      <c r="M109" s="28"/>
      <c r="N109" s="28"/>
    </row>
    <row r="110" spans="1:14" ht="16">
      <c r="A110" s="99"/>
      <c r="B110" s="99"/>
      <c r="C110" s="97" t="s">
        <v>45</v>
      </c>
      <c r="D110" s="97"/>
      <c r="E110" s="50"/>
      <c r="F110" s="97"/>
      <c r="G110" s="97"/>
      <c r="H110" s="97"/>
      <c r="I110" s="98" t="b">
        <v>0</v>
      </c>
    </row>
    <row r="111" spans="1:14" ht="16">
      <c r="A111" s="99"/>
      <c r="B111" s="99"/>
      <c r="C111" s="97" t="s">
        <v>45</v>
      </c>
      <c r="D111" s="97"/>
      <c r="E111" s="50"/>
      <c r="F111" s="97"/>
      <c r="G111" s="97"/>
      <c r="H111" s="97"/>
      <c r="I111" s="98" t="b">
        <v>0</v>
      </c>
    </row>
    <row r="112" spans="1:14" ht="16">
      <c r="A112" s="97">
        <v>1800</v>
      </c>
      <c r="B112" s="97">
        <v>700</v>
      </c>
      <c r="C112" s="97" t="s">
        <v>54</v>
      </c>
      <c r="D112" s="97" t="s">
        <v>525</v>
      </c>
      <c r="E112" s="50" t="s">
        <v>526</v>
      </c>
      <c r="F112" s="97"/>
      <c r="G112" s="97"/>
      <c r="H112" s="97"/>
      <c r="I112" s="98" t="b">
        <v>0</v>
      </c>
    </row>
    <row r="113" spans="1:9" ht="16">
      <c r="A113" s="412">
        <f>A102+1</f>
        <v>46243</v>
      </c>
      <c r="B113" s="413"/>
      <c r="C113" s="414"/>
      <c r="D113" s="96"/>
      <c r="E113" s="96"/>
      <c r="F113" s="96"/>
      <c r="G113" s="96"/>
      <c r="H113" s="96"/>
      <c r="I113" s="96"/>
    </row>
    <row r="114" spans="1:9" ht="16">
      <c r="A114" s="147" t="s">
        <v>38</v>
      </c>
      <c r="B114" s="147" t="s">
        <v>39</v>
      </c>
      <c r="C114" s="148" t="s">
        <v>40</v>
      </c>
      <c r="D114" s="148" t="s">
        <v>14</v>
      </c>
      <c r="E114" s="149" t="s">
        <v>41</v>
      </c>
      <c r="F114" s="148" t="s">
        <v>42</v>
      </c>
      <c r="G114" s="148" t="s">
        <v>43</v>
      </c>
      <c r="H114" s="148" t="s">
        <v>32</v>
      </c>
      <c r="I114" s="150"/>
    </row>
    <row r="115" spans="1:9" ht="16">
      <c r="A115" s="99"/>
      <c r="B115" s="99"/>
      <c r="C115" s="97" t="s">
        <v>45</v>
      </c>
      <c r="D115" s="97" t="s">
        <v>46</v>
      </c>
      <c r="E115" s="50" t="s">
        <v>47</v>
      </c>
      <c r="F115" s="97"/>
      <c r="G115" s="97"/>
      <c r="H115" s="97"/>
      <c r="I115" s="98" t="b">
        <v>0</v>
      </c>
    </row>
    <row r="116" spans="1:9" ht="16">
      <c r="A116" s="99"/>
      <c r="B116" s="99"/>
      <c r="C116" s="97" t="s">
        <v>45</v>
      </c>
      <c r="D116" s="97"/>
      <c r="E116" s="50"/>
      <c r="F116" s="97"/>
      <c r="G116" s="97"/>
      <c r="H116" s="97"/>
      <c r="I116" s="98" t="b">
        <v>0</v>
      </c>
    </row>
    <row r="117" spans="1:9" ht="16">
      <c r="A117" s="99"/>
      <c r="B117" s="99"/>
      <c r="C117" s="97" t="s">
        <v>53</v>
      </c>
      <c r="D117" s="97"/>
      <c r="E117" s="50"/>
      <c r="F117" s="97"/>
      <c r="G117" s="97"/>
      <c r="H117" s="97"/>
      <c r="I117" s="98" t="b">
        <v>0</v>
      </c>
    </row>
    <row r="118" spans="1:9" ht="16">
      <c r="A118" s="99"/>
      <c r="B118" s="99"/>
      <c r="C118" s="97" t="s">
        <v>45</v>
      </c>
      <c r="D118" s="97"/>
      <c r="E118" s="50"/>
      <c r="F118" s="97"/>
      <c r="G118" s="97"/>
      <c r="H118" s="97"/>
      <c r="I118" s="98" t="b">
        <v>0</v>
      </c>
    </row>
    <row r="119" spans="1:9" ht="16">
      <c r="A119" s="412">
        <f>A113+1</f>
        <v>46244</v>
      </c>
      <c r="B119" s="413"/>
      <c r="C119" s="414"/>
      <c r="D119" s="96"/>
      <c r="E119" s="96"/>
      <c r="F119" s="96"/>
      <c r="G119" s="96"/>
      <c r="H119" s="96"/>
      <c r="I119" s="96"/>
    </row>
    <row r="120" spans="1:9" ht="16">
      <c r="A120" s="147" t="s">
        <v>38</v>
      </c>
      <c r="B120" s="147" t="s">
        <v>39</v>
      </c>
      <c r="C120" s="148" t="s">
        <v>40</v>
      </c>
      <c r="D120" s="148" t="s">
        <v>14</v>
      </c>
      <c r="E120" s="149" t="s">
        <v>41</v>
      </c>
      <c r="F120" s="148" t="s">
        <v>42</v>
      </c>
      <c r="G120" s="148" t="s">
        <v>43</v>
      </c>
      <c r="H120" s="148" t="s">
        <v>32</v>
      </c>
      <c r="I120" s="150"/>
    </row>
    <row r="121" spans="1:9" ht="16">
      <c r="A121" s="99"/>
      <c r="B121" s="99"/>
      <c r="C121" s="99"/>
      <c r="D121" s="97"/>
      <c r="E121" s="50"/>
      <c r="F121" s="97"/>
      <c r="G121" s="97"/>
      <c r="H121" s="97"/>
      <c r="I121" s="98" t="b">
        <v>0</v>
      </c>
    </row>
    <row r="122" spans="1:9" ht="16">
      <c r="A122" s="99"/>
      <c r="B122" s="99"/>
      <c r="C122" s="99"/>
      <c r="D122" s="97"/>
      <c r="E122" s="50"/>
      <c r="F122" s="97"/>
      <c r="G122" s="97"/>
      <c r="H122" s="97"/>
      <c r="I122" s="98" t="b">
        <v>0</v>
      </c>
    </row>
    <row r="123" spans="1:9" ht="16">
      <c r="A123" s="99"/>
      <c r="B123" s="99"/>
      <c r="C123" s="99"/>
      <c r="D123" s="97"/>
      <c r="E123" s="50"/>
      <c r="F123" s="97"/>
      <c r="G123" s="97"/>
      <c r="H123" s="97"/>
      <c r="I123" s="98" t="b">
        <v>0</v>
      </c>
    </row>
    <row r="124" spans="1:9" ht="16">
      <c r="A124" s="99"/>
      <c r="B124" s="99"/>
      <c r="C124" s="99"/>
      <c r="D124" s="97"/>
      <c r="E124" s="50"/>
      <c r="F124" s="97"/>
      <c r="G124" s="97"/>
      <c r="H124" s="97"/>
      <c r="I124" s="98" t="b">
        <v>0</v>
      </c>
    </row>
    <row r="125" spans="1:9" ht="16">
      <c r="A125" s="99"/>
      <c r="B125" s="99"/>
      <c r="C125" s="99"/>
      <c r="D125" s="97"/>
      <c r="E125" s="50"/>
      <c r="F125" s="97"/>
      <c r="G125" s="97"/>
      <c r="H125" s="97"/>
      <c r="I125" s="98" t="b">
        <v>0</v>
      </c>
    </row>
    <row r="126" spans="1:9" ht="16">
      <c r="A126" s="99"/>
      <c r="B126" s="99"/>
      <c r="C126" s="99"/>
      <c r="D126" s="97"/>
      <c r="E126" s="50"/>
      <c r="F126" s="97"/>
      <c r="G126" s="97"/>
      <c r="H126" s="97"/>
      <c r="I126" s="98" t="b">
        <v>0</v>
      </c>
    </row>
    <row r="127" spans="1:9" ht="16">
      <c r="A127" s="412">
        <f>A119+1</f>
        <v>46245</v>
      </c>
      <c r="B127" s="413"/>
      <c r="C127" s="414"/>
      <c r="D127" s="96"/>
      <c r="E127" s="96"/>
      <c r="F127" s="96"/>
      <c r="G127" s="96"/>
      <c r="H127" s="96"/>
      <c r="I127" s="96"/>
    </row>
    <row r="128" spans="1:9" ht="16">
      <c r="A128" s="147" t="s">
        <v>38</v>
      </c>
      <c r="B128" s="147" t="s">
        <v>39</v>
      </c>
      <c r="C128" s="148" t="s">
        <v>40</v>
      </c>
      <c r="D128" s="148" t="s">
        <v>14</v>
      </c>
      <c r="E128" s="149" t="s">
        <v>41</v>
      </c>
      <c r="F128" s="148" t="s">
        <v>42</v>
      </c>
      <c r="G128" s="148" t="s">
        <v>43</v>
      </c>
      <c r="H128" s="148" t="s">
        <v>32</v>
      </c>
      <c r="I128" s="150"/>
    </row>
    <row r="129" spans="1:9" ht="16">
      <c r="A129" s="99"/>
      <c r="B129" s="99"/>
      <c r="C129" s="99"/>
      <c r="D129" s="97"/>
      <c r="E129" s="50"/>
      <c r="F129" s="97"/>
      <c r="G129" s="97"/>
      <c r="H129" s="97"/>
      <c r="I129" s="98" t="b">
        <v>0</v>
      </c>
    </row>
    <row r="130" spans="1:9" ht="16">
      <c r="A130" s="99"/>
      <c r="B130" s="99"/>
      <c r="C130" s="99"/>
      <c r="D130" s="97"/>
      <c r="E130" s="50"/>
      <c r="F130" s="97"/>
      <c r="G130" s="97"/>
      <c r="H130" s="97"/>
      <c r="I130" s="98" t="b">
        <v>0</v>
      </c>
    </row>
    <row r="131" spans="1:9" ht="16">
      <c r="A131" s="99"/>
      <c r="B131" s="99"/>
      <c r="C131" s="99"/>
      <c r="D131" s="97"/>
      <c r="E131" s="50"/>
      <c r="F131" s="97"/>
      <c r="G131" s="97"/>
      <c r="H131" s="97"/>
      <c r="I131" s="98" t="b">
        <v>0</v>
      </c>
    </row>
    <row r="132" spans="1:9" ht="16">
      <c r="A132" s="99"/>
      <c r="B132" s="99"/>
      <c r="C132" s="99"/>
      <c r="D132" s="97"/>
      <c r="E132" s="50"/>
      <c r="F132" s="97"/>
      <c r="G132" s="97"/>
      <c r="H132" s="97"/>
      <c r="I132" s="98" t="b">
        <v>0</v>
      </c>
    </row>
    <row r="133" spans="1:9" ht="16">
      <c r="A133" s="99"/>
      <c r="B133" s="99"/>
      <c r="C133" s="99"/>
      <c r="D133" s="97"/>
      <c r="E133" s="50"/>
      <c r="F133" s="97"/>
      <c r="G133" s="97"/>
      <c r="H133" s="97"/>
      <c r="I133" s="98" t="b">
        <v>0</v>
      </c>
    </row>
    <row r="134" spans="1:9" ht="16">
      <c r="A134" s="99"/>
      <c r="B134" s="99"/>
      <c r="C134" s="99"/>
      <c r="D134" s="97"/>
      <c r="E134" s="50"/>
      <c r="F134" s="97"/>
      <c r="G134" s="97"/>
      <c r="H134" s="97"/>
      <c r="I134" s="98" t="b">
        <v>0</v>
      </c>
    </row>
    <row r="135" spans="1:9" ht="16">
      <c r="A135" s="412">
        <f>A127+1</f>
        <v>46246</v>
      </c>
      <c r="B135" s="413"/>
      <c r="C135" s="414"/>
      <c r="D135" s="96"/>
      <c r="E135" s="96"/>
      <c r="F135" s="96"/>
      <c r="G135" s="96"/>
      <c r="H135" s="96"/>
      <c r="I135" s="96"/>
    </row>
    <row r="136" spans="1:9" ht="16">
      <c r="A136" s="147" t="s">
        <v>38</v>
      </c>
      <c r="B136" s="147" t="s">
        <v>39</v>
      </c>
      <c r="C136" s="148" t="s">
        <v>40</v>
      </c>
      <c r="D136" s="148" t="s">
        <v>14</v>
      </c>
      <c r="E136" s="149" t="s">
        <v>41</v>
      </c>
      <c r="F136" s="148" t="s">
        <v>42</v>
      </c>
      <c r="G136" s="148" t="s">
        <v>43</v>
      </c>
      <c r="H136" s="148" t="s">
        <v>32</v>
      </c>
      <c r="I136" s="150"/>
    </row>
    <row r="137" spans="1:9" ht="16">
      <c r="A137" s="99"/>
      <c r="B137" s="99"/>
      <c r="C137" s="99"/>
      <c r="D137" s="97"/>
      <c r="E137" s="50"/>
      <c r="F137" s="97"/>
      <c r="G137" s="97"/>
      <c r="H137" s="97"/>
      <c r="I137" s="98" t="b">
        <v>0</v>
      </c>
    </row>
    <row r="138" spans="1:9" ht="16">
      <c r="A138" s="99"/>
      <c r="B138" s="99"/>
      <c r="C138" s="99"/>
      <c r="D138" s="97"/>
      <c r="E138" s="50"/>
      <c r="F138" s="97"/>
      <c r="G138" s="97"/>
      <c r="H138" s="97"/>
      <c r="I138" s="98" t="b">
        <v>0</v>
      </c>
    </row>
    <row r="139" spans="1:9" ht="16">
      <c r="A139" s="99"/>
      <c r="B139" s="99"/>
      <c r="C139" s="99"/>
      <c r="D139" s="97"/>
      <c r="E139" s="50"/>
      <c r="F139" s="97"/>
      <c r="G139" s="97"/>
      <c r="H139" s="97"/>
      <c r="I139" s="98" t="b">
        <v>0</v>
      </c>
    </row>
    <row r="140" spans="1:9" ht="16">
      <c r="A140" s="99"/>
      <c r="B140" s="99"/>
      <c r="C140" s="99"/>
      <c r="D140" s="97"/>
      <c r="E140" s="50"/>
      <c r="F140" s="97"/>
      <c r="G140" s="97"/>
      <c r="H140" s="97"/>
      <c r="I140" s="98" t="b">
        <v>0</v>
      </c>
    </row>
    <row r="141" spans="1:9" ht="16">
      <c r="A141" s="99"/>
      <c r="B141" s="99"/>
      <c r="C141" s="99"/>
      <c r="D141" s="97"/>
      <c r="E141" s="50"/>
      <c r="F141" s="97"/>
      <c r="G141" s="97"/>
      <c r="H141" s="97"/>
      <c r="I141" s="98" t="b">
        <v>0</v>
      </c>
    </row>
    <row r="142" spans="1:9" ht="16">
      <c r="A142" s="99"/>
      <c r="B142" s="99"/>
      <c r="C142" s="99"/>
      <c r="D142" s="97"/>
      <c r="E142" s="50"/>
      <c r="F142" s="97"/>
      <c r="G142" s="97"/>
      <c r="H142" s="97"/>
      <c r="I142" s="98" t="b">
        <v>0</v>
      </c>
    </row>
    <row r="143" spans="1:9" ht="16">
      <c r="A143" s="412">
        <f>A135+1</f>
        <v>46247</v>
      </c>
      <c r="B143" s="413"/>
      <c r="C143" s="414"/>
      <c r="D143" s="96"/>
      <c r="E143" s="96"/>
      <c r="F143" s="96"/>
      <c r="G143" s="96"/>
      <c r="H143" s="96"/>
      <c r="I143" s="96"/>
    </row>
    <row r="144" spans="1:9" ht="16">
      <c r="A144" s="147" t="s">
        <v>38</v>
      </c>
      <c r="B144" s="147" t="s">
        <v>39</v>
      </c>
      <c r="C144" s="148" t="s">
        <v>40</v>
      </c>
      <c r="D144" s="148" t="s">
        <v>14</v>
      </c>
      <c r="E144" s="149" t="s">
        <v>41</v>
      </c>
      <c r="F144" s="148" t="s">
        <v>42</v>
      </c>
      <c r="G144" s="148" t="s">
        <v>43</v>
      </c>
      <c r="H144" s="148" t="s">
        <v>32</v>
      </c>
      <c r="I144" s="150"/>
    </row>
    <row r="145" spans="1:9" ht="16">
      <c r="A145" s="99"/>
      <c r="B145" s="99"/>
      <c r="C145" s="99"/>
      <c r="D145" s="97"/>
      <c r="E145" s="50"/>
      <c r="F145" s="97"/>
      <c r="G145" s="97"/>
      <c r="H145" s="97"/>
      <c r="I145" s="98" t="b">
        <v>0</v>
      </c>
    </row>
    <row r="146" spans="1:9" ht="16">
      <c r="A146" s="99"/>
      <c r="B146" s="99"/>
      <c r="C146" s="99"/>
      <c r="D146" s="97"/>
      <c r="E146" s="50"/>
      <c r="F146" s="97"/>
      <c r="G146" s="97"/>
      <c r="H146" s="97"/>
      <c r="I146" s="98" t="b">
        <v>0</v>
      </c>
    </row>
    <row r="147" spans="1:9" ht="16">
      <c r="A147" s="99"/>
      <c r="B147" s="99"/>
      <c r="C147" s="99"/>
      <c r="D147" s="97"/>
      <c r="E147" s="50"/>
      <c r="F147" s="97"/>
      <c r="G147" s="97"/>
      <c r="H147" s="97"/>
      <c r="I147" s="98" t="b">
        <v>0</v>
      </c>
    </row>
    <row r="148" spans="1:9" ht="16">
      <c r="A148" s="99"/>
      <c r="B148" s="99"/>
      <c r="C148" s="99"/>
      <c r="D148" s="97"/>
      <c r="E148" s="50"/>
      <c r="F148" s="97"/>
      <c r="G148" s="97"/>
      <c r="H148" s="97"/>
      <c r="I148" s="98" t="b">
        <v>0</v>
      </c>
    </row>
    <row r="149" spans="1:9" ht="16">
      <c r="A149" s="99"/>
      <c r="B149" s="99"/>
      <c r="C149" s="99"/>
      <c r="D149" s="97"/>
      <c r="E149" s="50"/>
      <c r="F149" s="97"/>
      <c r="G149" s="97"/>
      <c r="H149" s="97"/>
      <c r="I149" s="50"/>
    </row>
    <row r="150" spans="1:9" ht="16">
      <c r="A150" s="99"/>
      <c r="B150" s="99"/>
      <c r="C150" s="99"/>
      <c r="D150" s="97"/>
      <c r="E150" s="50"/>
      <c r="F150" s="97"/>
      <c r="G150" s="97"/>
      <c r="H150" s="97"/>
      <c r="I150" s="50"/>
    </row>
    <row r="151" spans="1:9" ht="16">
      <c r="A151" s="412">
        <f>A143+1</f>
        <v>46248</v>
      </c>
      <c r="B151" s="413"/>
      <c r="C151" s="414"/>
      <c r="D151" s="96"/>
      <c r="E151" s="96"/>
      <c r="F151" s="96"/>
      <c r="G151" s="96"/>
      <c r="H151" s="96"/>
      <c r="I151" s="96"/>
    </row>
    <row r="152" spans="1:9" ht="16">
      <c r="A152" s="147" t="s">
        <v>38</v>
      </c>
      <c r="B152" s="147" t="s">
        <v>39</v>
      </c>
      <c r="C152" s="148" t="s">
        <v>40</v>
      </c>
      <c r="D152" s="148" t="s">
        <v>14</v>
      </c>
      <c r="E152" s="149" t="s">
        <v>41</v>
      </c>
      <c r="F152" s="148" t="s">
        <v>42</v>
      </c>
      <c r="G152" s="148" t="s">
        <v>43</v>
      </c>
      <c r="H152" s="148" t="s">
        <v>32</v>
      </c>
      <c r="I152" s="150"/>
    </row>
    <row r="153" spans="1:9" ht="13">
      <c r="A153" s="22"/>
      <c r="B153" s="22"/>
      <c r="C153" s="27"/>
      <c r="D153" s="19"/>
      <c r="E153" s="21"/>
      <c r="F153" s="19"/>
      <c r="G153" s="19"/>
      <c r="H153" s="19"/>
      <c r="I153" s="9"/>
    </row>
    <row r="154" spans="1:9" ht="13">
      <c r="A154" s="22"/>
      <c r="B154" s="22"/>
      <c r="C154" s="27"/>
      <c r="D154" s="19"/>
      <c r="E154" s="21"/>
      <c r="F154" s="19"/>
      <c r="G154" s="19"/>
      <c r="H154" s="19"/>
      <c r="I154" s="9"/>
    </row>
    <row r="155" spans="1:9" ht="13">
      <c r="A155" s="22"/>
      <c r="B155" s="22"/>
      <c r="C155" s="27"/>
      <c r="D155" s="19"/>
      <c r="E155" s="21"/>
      <c r="F155" s="19"/>
      <c r="G155" s="19"/>
      <c r="H155" s="19"/>
      <c r="I155" s="9"/>
    </row>
    <row r="156" spans="1:9" ht="13">
      <c r="A156" s="22"/>
      <c r="B156" s="22"/>
      <c r="C156" s="27"/>
      <c r="D156" s="19"/>
      <c r="E156" s="21"/>
      <c r="F156" s="19"/>
      <c r="G156" s="19"/>
      <c r="H156" s="19"/>
      <c r="I156" s="9"/>
    </row>
    <row r="157" spans="1:9" ht="13">
      <c r="A157" s="22"/>
      <c r="B157" s="22"/>
      <c r="C157" s="27"/>
      <c r="D157" s="19"/>
      <c r="E157" s="21"/>
      <c r="F157" s="19"/>
      <c r="G157" s="19"/>
      <c r="H157" s="19"/>
      <c r="I157" s="9"/>
    </row>
    <row r="158" spans="1:9" ht="13">
      <c r="A158" s="22"/>
      <c r="B158" s="22"/>
      <c r="C158" s="27"/>
      <c r="D158" s="19"/>
      <c r="E158" s="21"/>
      <c r="F158" s="19"/>
      <c r="G158" s="19"/>
      <c r="H158" s="19"/>
      <c r="I158" s="9"/>
    </row>
    <row r="159" spans="1:9" ht="13">
      <c r="A159" s="29"/>
      <c r="B159" s="29"/>
    </row>
    <row r="160" spans="1:9" ht="13">
      <c r="A160" s="29"/>
      <c r="B160" s="29"/>
    </row>
    <row r="161" spans="1:2" ht="13">
      <c r="A161" s="29"/>
      <c r="B161" s="29"/>
    </row>
    <row r="162" spans="1:2" ht="13">
      <c r="A162" s="29"/>
      <c r="B162" s="29"/>
    </row>
    <row r="163" spans="1:2" ht="13">
      <c r="A163" s="29"/>
      <c r="B163" s="29"/>
    </row>
    <row r="164" spans="1:2" ht="13">
      <c r="A164" s="29"/>
      <c r="B164" s="29"/>
    </row>
    <row r="165" spans="1:2" ht="13">
      <c r="A165" s="29"/>
      <c r="B165" s="29"/>
    </row>
    <row r="166" spans="1:2" ht="13">
      <c r="A166" s="29"/>
      <c r="B166" s="29"/>
    </row>
    <row r="167" spans="1:2" ht="13" hidden="1">
      <c r="A167" s="29"/>
      <c r="B167" s="29"/>
    </row>
    <row r="168" spans="1:2" ht="13" hidden="1">
      <c r="A168" s="29"/>
      <c r="B168" s="29"/>
    </row>
    <row r="169" spans="1:2" ht="13" hidden="1">
      <c r="A169" s="29"/>
      <c r="B169" s="29"/>
    </row>
    <row r="170" spans="1:2" ht="13" hidden="1">
      <c r="A170" s="29"/>
      <c r="B170" s="29"/>
    </row>
    <row r="171" spans="1:2" ht="13" hidden="1">
      <c r="A171" s="29"/>
      <c r="B171" s="29"/>
    </row>
    <row r="172" spans="1:2" ht="13" hidden="1">
      <c r="A172" s="29"/>
      <c r="B172" s="29"/>
    </row>
    <row r="173" spans="1:2" ht="13" hidden="1">
      <c r="A173" s="29"/>
      <c r="B173" s="29"/>
    </row>
    <row r="174" spans="1:2" ht="13" hidden="1">
      <c r="A174" s="29"/>
      <c r="B174" s="29"/>
    </row>
    <row r="175" spans="1:2" ht="13" hidden="1">
      <c r="A175" s="29"/>
      <c r="B175" s="29"/>
    </row>
    <row r="176" spans="1:2" ht="13" hidden="1">
      <c r="A176" s="29"/>
      <c r="B176" s="29"/>
    </row>
    <row r="177" spans="1:2" ht="13" hidden="1">
      <c r="A177" s="29"/>
      <c r="B177" s="29"/>
    </row>
    <row r="178" spans="1:2" ht="13" hidden="1">
      <c r="A178" s="29"/>
      <c r="B178" s="29"/>
    </row>
    <row r="179" spans="1:2" ht="13" hidden="1">
      <c r="A179" s="29"/>
      <c r="B179" s="29"/>
    </row>
    <row r="180" spans="1:2" ht="13" hidden="1">
      <c r="A180" s="29"/>
      <c r="B180" s="29"/>
    </row>
    <row r="181" spans="1:2" ht="13" hidden="1">
      <c r="A181" s="29"/>
      <c r="B181" s="29"/>
    </row>
    <row r="182" spans="1:2" ht="13" hidden="1">
      <c r="A182" s="29"/>
      <c r="B182" s="29"/>
    </row>
    <row r="183" spans="1:2" ht="13" hidden="1">
      <c r="A183" s="29"/>
      <c r="B183" s="29"/>
    </row>
    <row r="184" spans="1:2" ht="13" hidden="1">
      <c r="A184" s="29"/>
      <c r="B184" s="29"/>
    </row>
    <row r="185" spans="1:2" ht="13" hidden="1">
      <c r="A185" s="29"/>
      <c r="B185" s="29"/>
    </row>
    <row r="186" spans="1:2" ht="13" hidden="1">
      <c r="A186" s="29"/>
      <c r="B186" s="29"/>
    </row>
    <row r="187" spans="1:2" ht="13" hidden="1">
      <c r="A187" s="29"/>
      <c r="B187" s="29"/>
    </row>
    <row r="188" spans="1:2" ht="13" hidden="1">
      <c r="A188" s="29"/>
      <c r="B188" s="29"/>
    </row>
    <row r="189" spans="1:2" ht="13" hidden="1">
      <c r="A189" s="29"/>
      <c r="B189" s="29"/>
    </row>
    <row r="190" spans="1:2" ht="13" hidden="1">
      <c r="A190" s="29"/>
      <c r="B190" s="29"/>
    </row>
    <row r="191" spans="1:2" ht="13" hidden="1">
      <c r="A191" s="29"/>
      <c r="B191" s="29"/>
    </row>
    <row r="192" spans="1:2" ht="13" hidden="1">
      <c r="A192" s="29"/>
      <c r="B192" s="29"/>
    </row>
    <row r="193" spans="1:2" ht="13" hidden="1">
      <c r="A193" s="29"/>
      <c r="B193" s="29"/>
    </row>
    <row r="194" spans="1:2" ht="13" hidden="1">
      <c r="A194" s="29"/>
      <c r="B194" s="29"/>
    </row>
    <row r="195" spans="1:2" ht="13" hidden="1">
      <c r="A195" s="29"/>
      <c r="B195" s="29"/>
    </row>
    <row r="196" spans="1:2" ht="13" hidden="1">
      <c r="A196" s="29"/>
      <c r="B196" s="29"/>
    </row>
    <row r="197" spans="1:2" ht="13" hidden="1">
      <c r="A197" s="29"/>
      <c r="B197" s="29"/>
    </row>
    <row r="198" spans="1:2" ht="13" hidden="1">
      <c r="A198" s="29"/>
      <c r="B198" s="29"/>
    </row>
    <row r="199" spans="1:2" ht="13" hidden="1">
      <c r="A199" s="29"/>
      <c r="B199" s="29"/>
    </row>
    <row r="200" spans="1:2" ht="13" hidden="1">
      <c r="A200" s="29"/>
      <c r="B200" s="29"/>
    </row>
    <row r="201" spans="1:2" ht="13" hidden="1">
      <c r="A201" s="29"/>
      <c r="B201" s="29"/>
    </row>
    <row r="202" spans="1:2" ht="13" hidden="1">
      <c r="A202" s="29"/>
      <c r="B202" s="29"/>
    </row>
    <row r="203" spans="1:2" ht="13" hidden="1">
      <c r="A203" s="29"/>
      <c r="B203" s="29"/>
    </row>
    <row r="204" spans="1:2" ht="13" hidden="1">
      <c r="A204" s="29"/>
      <c r="B204" s="29"/>
    </row>
    <row r="205" spans="1:2" ht="13" hidden="1">
      <c r="A205" s="29"/>
      <c r="B205" s="29"/>
    </row>
    <row r="206" spans="1:2" ht="13" hidden="1">
      <c r="A206" s="29"/>
      <c r="B206" s="29"/>
    </row>
    <row r="207" spans="1:2" ht="13" hidden="1">
      <c r="A207" s="29"/>
      <c r="B207" s="29"/>
    </row>
    <row r="208" spans="1:2" ht="13" hidden="1">
      <c r="A208" s="29"/>
      <c r="B208" s="29"/>
    </row>
    <row r="209" spans="1:2" ht="13" hidden="1">
      <c r="A209" s="29"/>
      <c r="B209" s="29"/>
    </row>
    <row r="210" spans="1:2" ht="13" hidden="1">
      <c r="A210" s="29"/>
      <c r="B210" s="29"/>
    </row>
    <row r="211" spans="1:2" ht="13" hidden="1">
      <c r="A211" s="29"/>
      <c r="B211" s="29"/>
    </row>
    <row r="212" spans="1:2" ht="13" hidden="1">
      <c r="A212" s="29"/>
      <c r="B212" s="29"/>
    </row>
    <row r="213" spans="1:2" ht="13" hidden="1">
      <c r="A213" s="29"/>
      <c r="B213" s="29"/>
    </row>
    <row r="214" spans="1:2" ht="13" hidden="1">
      <c r="A214" s="29"/>
      <c r="B214" s="29"/>
    </row>
    <row r="215" spans="1:2" ht="13" hidden="1">
      <c r="A215" s="29"/>
      <c r="B215" s="29"/>
    </row>
    <row r="216" spans="1:2" ht="13" hidden="1">
      <c r="A216" s="29"/>
      <c r="B216" s="29"/>
    </row>
    <row r="217" spans="1:2" ht="13" hidden="1">
      <c r="A217" s="29"/>
      <c r="B217" s="29"/>
    </row>
    <row r="218" spans="1:2" ht="13" hidden="1">
      <c r="A218" s="29"/>
      <c r="B218" s="29"/>
    </row>
    <row r="219" spans="1:2" ht="13" hidden="1">
      <c r="A219" s="29"/>
      <c r="B219" s="29"/>
    </row>
    <row r="220" spans="1:2" ht="13" hidden="1">
      <c r="A220" s="29"/>
      <c r="B220" s="29"/>
    </row>
    <row r="221" spans="1:2" ht="13" hidden="1">
      <c r="A221" s="29"/>
      <c r="B221" s="29"/>
    </row>
    <row r="222" spans="1:2" ht="13" hidden="1">
      <c r="A222" s="29"/>
      <c r="B222" s="29"/>
    </row>
    <row r="223" spans="1:2" ht="13" hidden="1">
      <c r="A223" s="29"/>
      <c r="B223" s="29"/>
    </row>
    <row r="224" spans="1:2" ht="13" hidden="1">
      <c r="A224" s="29"/>
      <c r="B224" s="29"/>
    </row>
    <row r="225" spans="1:2" ht="13" hidden="1">
      <c r="A225" s="29"/>
      <c r="B225" s="29"/>
    </row>
    <row r="226" spans="1:2" ht="13" hidden="1">
      <c r="A226" s="29"/>
      <c r="B226" s="29"/>
    </row>
    <row r="227" spans="1:2" ht="13" hidden="1">
      <c r="A227" s="29"/>
      <c r="B227" s="29"/>
    </row>
    <row r="228" spans="1:2" ht="13" hidden="1">
      <c r="A228" s="29"/>
      <c r="B228" s="29"/>
    </row>
    <row r="229" spans="1:2" ht="13" hidden="1">
      <c r="A229" s="29"/>
      <c r="B229" s="29"/>
    </row>
    <row r="230" spans="1:2" ht="13" hidden="1">
      <c r="A230" s="29"/>
      <c r="B230" s="29"/>
    </row>
    <row r="231" spans="1:2" ht="13" hidden="1">
      <c r="A231" s="29"/>
      <c r="B231" s="29"/>
    </row>
    <row r="232" spans="1:2" ht="13" hidden="1">
      <c r="A232" s="29"/>
      <c r="B232" s="29"/>
    </row>
    <row r="233" spans="1:2" ht="13" hidden="1">
      <c r="A233" s="29"/>
      <c r="B233" s="29"/>
    </row>
    <row r="234" spans="1:2" ht="13" hidden="1">
      <c r="A234" s="29"/>
      <c r="B234" s="29"/>
    </row>
    <row r="235" spans="1:2" ht="13" hidden="1">
      <c r="A235" s="29"/>
      <c r="B235" s="29"/>
    </row>
    <row r="236" spans="1:2" ht="13" hidden="1">
      <c r="A236" s="29"/>
      <c r="B236" s="29"/>
    </row>
    <row r="237" spans="1:2" ht="13" hidden="1">
      <c r="A237" s="29"/>
      <c r="B237" s="29"/>
    </row>
    <row r="238" spans="1:2" ht="13" hidden="1">
      <c r="A238" s="29"/>
      <c r="B238" s="29"/>
    </row>
    <row r="239" spans="1:2" ht="13" hidden="1">
      <c r="A239" s="29"/>
      <c r="B239" s="29"/>
    </row>
    <row r="240" spans="1:2" ht="13" hidden="1">
      <c r="A240" s="29"/>
      <c r="B240" s="29"/>
    </row>
    <row r="241" spans="1:2" ht="13" hidden="1">
      <c r="A241" s="29"/>
      <c r="B241" s="29"/>
    </row>
    <row r="242" spans="1:2" ht="13" hidden="1">
      <c r="A242" s="29"/>
      <c r="B242" s="29"/>
    </row>
    <row r="243" spans="1:2" ht="13" hidden="1">
      <c r="A243" s="29"/>
      <c r="B243" s="29"/>
    </row>
    <row r="244" spans="1:2" ht="13" hidden="1">
      <c r="A244" s="29"/>
      <c r="B244" s="29"/>
    </row>
    <row r="245" spans="1:2" ht="13" hidden="1">
      <c r="A245" s="29"/>
      <c r="B245" s="29"/>
    </row>
    <row r="246" spans="1:2" ht="13" hidden="1">
      <c r="A246" s="29"/>
      <c r="B246" s="29"/>
    </row>
    <row r="247" spans="1:2" ht="13" hidden="1">
      <c r="A247" s="29"/>
      <c r="B247" s="29"/>
    </row>
    <row r="248" spans="1:2" ht="13" hidden="1">
      <c r="A248" s="29"/>
      <c r="B248" s="29"/>
    </row>
    <row r="249" spans="1:2" ht="13" hidden="1">
      <c r="A249" s="29"/>
      <c r="B249" s="29"/>
    </row>
    <row r="250" spans="1:2" ht="13" hidden="1">
      <c r="A250" s="29"/>
      <c r="B250" s="29"/>
    </row>
    <row r="251" spans="1:2" ht="13" hidden="1">
      <c r="A251" s="29"/>
      <c r="B251" s="29"/>
    </row>
    <row r="252" spans="1:2" ht="13" hidden="1">
      <c r="A252" s="29"/>
      <c r="B252" s="29"/>
    </row>
    <row r="253" spans="1:2" ht="13" hidden="1">
      <c r="A253" s="29"/>
      <c r="B253" s="29"/>
    </row>
    <row r="254" spans="1:2" ht="13" hidden="1">
      <c r="A254" s="29"/>
      <c r="B254" s="29"/>
    </row>
    <row r="255" spans="1:2" ht="13" hidden="1">
      <c r="A255" s="29"/>
      <c r="B255" s="29"/>
    </row>
    <row r="256" spans="1:2" ht="13" hidden="1">
      <c r="A256" s="29"/>
      <c r="B256" s="29"/>
    </row>
    <row r="257" spans="1:2" ht="13" hidden="1">
      <c r="A257" s="29"/>
      <c r="B257" s="29"/>
    </row>
    <row r="258" spans="1:2" ht="13" hidden="1">
      <c r="A258" s="29"/>
      <c r="B258" s="29"/>
    </row>
    <row r="259" spans="1:2" ht="13" hidden="1">
      <c r="A259" s="29"/>
      <c r="B259" s="29"/>
    </row>
    <row r="260" spans="1:2" ht="13" hidden="1">
      <c r="A260" s="29"/>
      <c r="B260" s="29"/>
    </row>
    <row r="261" spans="1:2" ht="13" hidden="1">
      <c r="A261" s="29"/>
      <c r="B261" s="29"/>
    </row>
    <row r="262" spans="1:2" ht="13" hidden="1">
      <c r="A262" s="29"/>
      <c r="B262" s="29"/>
    </row>
    <row r="263" spans="1:2" ht="13" hidden="1">
      <c r="A263" s="29"/>
      <c r="B263" s="29"/>
    </row>
    <row r="264" spans="1:2" ht="13" hidden="1">
      <c r="A264" s="29"/>
      <c r="B264" s="29"/>
    </row>
    <row r="265" spans="1:2" ht="13" hidden="1">
      <c r="A265" s="29"/>
      <c r="B265" s="29"/>
    </row>
    <row r="266" spans="1:2" ht="13" hidden="1">
      <c r="A266" s="29"/>
      <c r="B266" s="29"/>
    </row>
    <row r="267" spans="1:2" ht="13" hidden="1">
      <c r="A267" s="29"/>
      <c r="B267" s="29"/>
    </row>
    <row r="268" spans="1:2" ht="13" hidden="1">
      <c r="A268" s="29"/>
      <c r="B268" s="29"/>
    </row>
    <row r="269" spans="1:2" ht="13" hidden="1">
      <c r="A269" s="29"/>
      <c r="B269" s="29"/>
    </row>
    <row r="270" spans="1:2" ht="13" hidden="1">
      <c r="A270" s="29"/>
      <c r="B270" s="29"/>
    </row>
    <row r="271" spans="1:2" ht="13" hidden="1">
      <c r="A271" s="29"/>
      <c r="B271" s="29"/>
    </row>
    <row r="272" spans="1:2" ht="13" hidden="1">
      <c r="A272" s="29"/>
      <c r="B272" s="29"/>
    </row>
    <row r="273" spans="1:2" ht="13" hidden="1">
      <c r="A273" s="29"/>
      <c r="B273" s="29"/>
    </row>
    <row r="274" spans="1:2" ht="13" hidden="1">
      <c r="A274" s="29"/>
      <c r="B274" s="29"/>
    </row>
    <row r="275" spans="1:2" ht="13" hidden="1">
      <c r="A275" s="29"/>
      <c r="B275" s="29"/>
    </row>
    <row r="276" spans="1:2" ht="13" hidden="1">
      <c r="A276" s="29"/>
      <c r="B276" s="29"/>
    </row>
    <row r="277" spans="1:2" ht="13" hidden="1">
      <c r="A277" s="29"/>
      <c r="B277" s="29"/>
    </row>
    <row r="278" spans="1:2" ht="13" hidden="1">
      <c r="A278" s="29"/>
      <c r="B278" s="29"/>
    </row>
    <row r="279" spans="1:2" ht="13" hidden="1">
      <c r="A279" s="29"/>
      <c r="B279" s="29"/>
    </row>
    <row r="280" spans="1:2" ht="13" hidden="1">
      <c r="A280" s="29"/>
      <c r="B280" s="29"/>
    </row>
    <row r="281" spans="1:2" ht="13" hidden="1">
      <c r="A281" s="29"/>
      <c r="B281" s="29"/>
    </row>
    <row r="282" spans="1:2" ht="13" hidden="1">
      <c r="A282" s="29"/>
      <c r="B282" s="29"/>
    </row>
    <row r="283" spans="1:2" ht="13" hidden="1">
      <c r="A283" s="29"/>
      <c r="B283" s="29"/>
    </row>
    <row r="284" spans="1:2" ht="13" hidden="1">
      <c r="A284" s="29"/>
      <c r="B284" s="29"/>
    </row>
    <row r="285" spans="1:2" ht="13" hidden="1">
      <c r="A285" s="29"/>
      <c r="B285" s="29"/>
    </row>
    <row r="286" spans="1:2" ht="13" hidden="1">
      <c r="A286" s="29"/>
      <c r="B286" s="29"/>
    </row>
    <row r="287" spans="1:2" ht="13" hidden="1">
      <c r="A287" s="29"/>
      <c r="B287" s="29"/>
    </row>
    <row r="288" spans="1:2" ht="13" hidden="1">
      <c r="A288" s="29"/>
      <c r="B288" s="29"/>
    </row>
    <row r="289" spans="1:2" ht="13" hidden="1">
      <c r="A289" s="29"/>
      <c r="B289" s="29"/>
    </row>
    <row r="290" spans="1:2" ht="13" hidden="1">
      <c r="A290" s="29"/>
      <c r="B290" s="29"/>
    </row>
    <row r="291" spans="1:2" ht="13" hidden="1">
      <c r="A291" s="29"/>
      <c r="B291" s="29"/>
    </row>
    <row r="292" spans="1:2" ht="13" hidden="1">
      <c r="A292" s="29"/>
      <c r="B292" s="29"/>
    </row>
    <row r="293" spans="1:2" ht="13" hidden="1">
      <c r="A293" s="29"/>
      <c r="B293" s="29"/>
    </row>
    <row r="294" spans="1:2" ht="13" hidden="1">
      <c r="A294" s="29"/>
      <c r="B294" s="29"/>
    </row>
    <row r="295" spans="1:2" ht="13" hidden="1">
      <c r="A295" s="29"/>
      <c r="B295" s="29"/>
    </row>
    <row r="296" spans="1:2" ht="13" hidden="1">
      <c r="A296" s="29"/>
      <c r="B296" s="29"/>
    </row>
    <row r="297" spans="1:2" ht="13" hidden="1">
      <c r="A297" s="29"/>
      <c r="B297" s="29"/>
    </row>
    <row r="298" spans="1:2" ht="13" hidden="1">
      <c r="A298" s="29"/>
      <c r="B298" s="29"/>
    </row>
    <row r="299" spans="1:2" ht="13" hidden="1">
      <c r="A299" s="29"/>
      <c r="B299" s="29"/>
    </row>
    <row r="300" spans="1:2" ht="13" hidden="1">
      <c r="A300" s="29"/>
      <c r="B300" s="29"/>
    </row>
    <row r="301" spans="1:2" ht="13" hidden="1">
      <c r="A301" s="29"/>
      <c r="B301" s="29"/>
    </row>
    <row r="302" spans="1:2" ht="13" hidden="1">
      <c r="A302" s="29"/>
      <c r="B302" s="29"/>
    </row>
    <row r="303" spans="1:2" ht="13" hidden="1">
      <c r="A303" s="29"/>
      <c r="B303" s="29"/>
    </row>
    <row r="304" spans="1:2" ht="13" hidden="1">
      <c r="A304" s="29"/>
      <c r="B304" s="29"/>
    </row>
    <row r="305" spans="1:2" ht="13" hidden="1">
      <c r="A305" s="29"/>
      <c r="B305" s="29"/>
    </row>
    <row r="306" spans="1:2" ht="13" hidden="1">
      <c r="A306" s="29"/>
      <c r="B306" s="29"/>
    </row>
    <row r="307" spans="1:2" ht="13" hidden="1">
      <c r="A307" s="29"/>
      <c r="B307" s="29"/>
    </row>
    <row r="308" spans="1:2" ht="13" hidden="1">
      <c r="A308" s="29"/>
      <c r="B308" s="29"/>
    </row>
    <row r="309" spans="1:2" ht="13" hidden="1">
      <c r="A309" s="29"/>
      <c r="B309" s="29"/>
    </row>
    <row r="310" spans="1:2" ht="13" hidden="1">
      <c r="A310" s="29"/>
      <c r="B310" s="29"/>
    </row>
    <row r="311" spans="1:2" ht="13" hidden="1">
      <c r="A311" s="29"/>
      <c r="B311" s="29"/>
    </row>
    <row r="312" spans="1:2" ht="13" hidden="1">
      <c r="A312" s="29"/>
      <c r="B312" s="29"/>
    </row>
    <row r="313" spans="1:2" ht="13" hidden="1">
      <c r="A313" s="29"/>
      <c r="B313" s="29"/>
    </row>
    <row r="314" spans="1:2" ht="13" hidden="1">
      <c r="A314" s="29"/>
      <c r="B314" s="29"/>
    </row>
    <row r="315" spans="1:2" ht="13" hidden="1">
      <c r="A315" s="29"/>
      <c r="B315" s="29"/>
    </row>
    <row r="316" spans="1:2" ht="13" hidden="1">
      <c r="A316" s="29"/>
      <c r="B316" s="29"/>
    </row>
    <row r="317" spans="1:2" ht="13" hidden="1">
      <c r="A317" s="29"/>
      <c r="B317" s="29"/>
    </row>
    <row r="318" spans="1:2" ht="13" hidden="1">
      <c r="A318" s="29"/>
      <c r="B318" s="29"/>
    </row>
    <row r="319" spans="1:2" ht="13" hidden="1">
      <c r="A319" s="29"/>
      <c r="B319" s="29"/>
    </row>
    <row r="320" spans="1:2" ht="13" hidden="1">
      <c r="A320" s="29"/>
      <c r="B320" s="29"/>
    </row>
    <row r="321" spans="1:2" ht="13" hidden="1">
      <c r="A321" s="29"/>
      <c r="B321" s="29"/>
    </row>
    <row r="322" spans="1:2" ht="13" hidden="1">
      <c r="A322" s="29"/>
      <c r="B322" s="29"/>
    </row>
    <row r="323" spans="1:2" ht="13" hidden="1">
      <c r="A323" s="29"/>
      <c r="B323" s="29"/>
    </row>
    <row r="324" spans="1:2" ht="13" hidden="1">
      <c r="A324" s="29"/>
      <c r="B324" s="29"/>
    </row>
    <row r="325" spans="1:2" ht="13" hidden="1">
      <c r="A325" s="29"/>
      <c r="B325" s="29"/>
    </row>
    <row r="326" spans="1:2" ht="13" hidden="1">
      <c r="A326" s="29"/>
      <c r="B326" s="29"/>
    </row>
    <row r="327" spans="1:2" ht="13" hidden="1">
      <c r="A327" s="29"/>
      <c r="B327" s="29"/>
    </row>
    <row r="328" spans="1:2" ht="13" hidden="1">
      <c r="A328" s="29"/>
      <c r="B328" s="29"/>
    </row>
    <row r="329" spans="1:2" ht="13" hidden="1">
      <c r="A329" s="29"/>
      <c r="B329" s="29"/>
    </row>
    <row r="330" spans="1:2" ht="13" hidden="1">
      <c r="A330" s="29"/>
      <c r="B330" s="29"/>
    </row>
    <row r="331" spans="1:2" ht="13" hidden="1">
      <c r="A331" s="29"/>
      <c r="B331" s="29"/>
    </row>
    <row r="332" spans="1:2" ht="13" hidden="1">
      <c r="A332" s="29"/>
      <c r="B332" s="29"/>
    </row>
    <row r="333" spans="1:2" ht="13" hidden="1">
      <c r="A333" s="29"/>
      <c r="B333" s="29"/>
    </row>
    <row r="334" spans="1:2" ht="13" hidden="1">
      <c r="A334" s="29"/>
      <c r="B334" s="29"/>
    </row>
    <row r="335" spans="1:2" ht="13" hidden="1">
      <c r="A335" s="29"/>
      <c r="B335" s="29"/>
    </row>
    <row r="336" spans="1:2" ht="13" hidden="1">
      <c r="A336" s="29"/>
      <c r="B336" s="29"/>
    </row>
    <row r="337" spans="1:2" ht="13" hidden="1">
      <c r="A337" s="29"/>
      <c r="B337" s="29"/>
    </row>
    <row r="338" spans="1:2" ht="13" hidden="1">
      <c r="A338" s="29"/>
      <c r="B338" s="29"/>
    </row>
    <row r="339" spans="1:2" ht="13" hidden="1">
      <c r="A339" s="29"/>
      <c r="B339" s="29"/>
    </row>
    <row r="340" spans="1:2" ht="13" hidden="1">
      <c r="A340" s="29"/>
      <c r="B340" s="29"/>
    </row>
    <row r="341" spans="1:2" ht="13" hidden="1">
      <c r="A341" s="29"/>
      <c r="B341" s="29"/>
    </row>
    <row r="342" spans="1:2" ht="13" hidden="1">
      <c r="A342" s="29"/>
      <c r="B342" s="29"/>
    </row>
    <row r="343" spans="1:2" ht="13" hidden="1">
      <c r="A343" s="29"/>
      <c r="B343" s="29"/>
    </row>
    <row r="344" spans="1:2" ht="13" hidden="1">
      <c r="A344" s="29"/>
      <c r="B344" s="29"/>
    </row>
    <row r="345" spans="1:2" ht="13" hidden="1">
      <c r="A345" s="29"/>
      <c r="B345" s="29"/>
    </row>
    <row r="346" spans="1:2" ht="13" hidden="1">
      <c r="A346" s="29"/>
      <c r="B346" s="29"/>
    </row>
    <row r="347" spans="1:2" ht="13" hidden="1">
      <c r="A347" s="29"/>
      <c r="B347" s="29"/>
    </row>
    <row r="348" spans="1:2" ht="13" hidden="1">
      <c r="A348" s="29"/>
      <c r="B348" s="29"/>
    </row>
    <row r="349" spans="1:2" ht="13" hidden="1">
      <c r="A349" s="29"/>
      <c r="B349" s="29"/>
    </row>
    <row r="350" spans="1:2" ht="13" hidden="1">
      <c r="A350" s="29"/>
      <c r="B350" s="29"/>
    </row>
    <row r="351" spans="1:2" ht="13" hidden="1">
      <c r="A351" s="29"/>
      <c r="B351" s="29"/>
    </row>
    <row r="352" spans="1:2" ht="13" hidden="1">
      <c r="A352" s="29"/>
      <c r="B352" s="29"/>
    </row>
    <row r="353" spans="1:2" ht="13" hidden="1">
      <c r="A353" s="29"/>
      <c r="B353" s="29"/>
    </row>
    <row r="354" spans="1:2" ht="13" hidden="1">
      <c r="A354" s="29"/>
      <c r="B354" s="29"/>
    </row>
    <row r="355" spans="1:2" ht="13" hidden="1">
      <c r="A355" s="29"/>
      <c r="B355" s="29"/>
    </row>
    <row r="356" spans="1:2" ht="13" hidden="1">
      <c r="A356" s="29"/>
      <c r="B356" s="29"/>
    </row>
    <row r="357" spans="1:2" ht="13" hidden="1">
      <c r="A357" s="29"/>
      <c r="B357" s="29"/>
    </row>
    <row r="358" spans="1:2" ht="13" hidden="1">
      <c r="A358" s="29"/>
      <c r="B358" s="29"/>
    </row>
    <row r="359" spans="1:2" ht="13" hidden="1">
      <c r="A359" s="29"/>
      <c r="B359" s="29"/>
    </row>
    <row r="360" spans="1:2" ht="13" hidden="1">
      <c r="A360" s="29"/>
      <c r="B360" s="29"/>
    </row>
    <row r="361" spans="1:2" ht="13" hidden="1">
      <c r="A361" s="29"/>
      <c r="B361" s="29"/>
    </row>
    <row r="362" spans="1:2" ht="13" hidden="1">
      <c r="A362" s="29"/>
      <c r="B362" s="29"/>
    </row>
    <row r="363" spans="1:2" ht="13" hidden="1">
      <c r="A363" s="29"/>
      <c r="B363" s="29"/>
    </row>
    <row r="364" spans="1:2" ht="13" hidden="1">
      <c r="A364" s="29"/>
      <c r="B364" s="29"/>
    </row>
    <row r="365" spans="1:2" ht="13" hidden="1">
      <c r="A365" s="29"/>
      <c r="B365" s="29"/>
    </row>
    <row r="366" spans="1:2" ht="13" hidden="1">
      <c r="A366" s="29"/>
      <c r="B366" s="29"/>
    </row>
    <row r="367" spans="1:2" ht="13" hidden="1">
      <c r="A367" s="29"/>
      <c r="B367" s="29"/>
    </row>
    <row r="368" spans="1:2" ht="13" hidden="1">
      <c r="A368" s="29"/>
      <c r="B368" s="29"/>
    </row>
    <row r="369" spans="1:2" ht="13" hidden="1">
      <c r="A369" s="29"/>
      <c r="B369" s="29"/>
    </row>
    <row r="370" spans="1:2" ht="13" hidden="1">
      <c r="A370" s="29"/>
      <c r="B370" s="29"/>
    </row>
    <row r="371" spans="1:2" ht="13" hidden="1">
      <c r="A371" s="29"/>
      <c r="B371" s="29"/>
    </row>
    <row r="372" spans="1:2" ht="13" hidden="1">
      <c r="A372" s="29"/>
      <c r="B372" s="29"/>
    </row>
    <row r="373" spans="1:2" ht="13" hidden="1">
      <c r="A373" s="29"/>
      <c r="B373" s="29"/>
    </row>
    <row r="374" spans="1:2" ht="13" hidden="1">
      <c r="A374" s="29"/>
      <c r="B374" s="29"/>
    </row>
    <row r="375" spans="1:2" ht="13" hidden="1">
      <c r="A375" s="29"/>
      <c r="B375" s="29"/>
    </row>
    <row r="376" spans="1:2" ht="13" hidden="1">
      <c r="A376" s="29"/>
      <c r="B376" s="29"/>
    </row>
    <row r="377" spans="1:2" ht="13" hidden="1">
      <c r="A377" s="29"/>
      <c r="B377" s="29"/>
    </row>
    <row r="378" spans="1:2" ht="13" hidden="1">
      <c r="A378" s="29"/>
      <c r="B378" s="29"/>
    </row>
    <row r="379" spans="1:2" ht="13" hidden="1">
      <c r="A379" s="29"/>
      <c r="B379" s="29"/>
    </row>
    <row r="380" spans="1:2" ht="13" hidden="1">
      <c r="A380" s="29"/>
      <c r="B380" s="29"/>
    </row>
    <row r="381" spans="1:2" ht="13" hidden="1">
      <c r="A381" s="29"/>
      <c r="B381" s="29"/>
    </row>
    <row r="382" spans="1:2" ht="13" hidden="1">
      <c r="A382" s="29"/>
      <c r="B382" s="29"/>
    </row>
    <row r="383" spans="1:2" ht="13" hidden="1">
      <c r="A383" s="29"/>
      <c r="B383" s="29"/>
    </row>
    <row r="384" spans="1:2" ht="13" hidden="1">
      <c r="A384" s="29"/>
      <c r="B384" s="29"/>
    </row>
    <row r="385" spans="1:2" ht="13" hidden="1">
      <c r="A385" s="29"/>
      <c r="B385" s="29"/>
    </row>
    <row r="386" spans="1:2" ht="13" hidden="1">
      <c r="A386" s="29"/>
      <c r="B386" s="29"/>
    </row>
    <row r="387" spans="1:2" ht="13" hidden="1">
      <c r="A387" s="29"/>
      <c r="B387" s="29"/>
    </row>
    <row r="388" spans="1:2" ht="13" hidden="1">
      <c r="A388" s="29"/>
      <c r="B388" s="29"/>
    </row>
    <row r="389" spans="1:2" ht="13" hidden="1">
      <c r="A389" s="29"/>
      <c r="B389" s="29"/>
    </row>
    <row r="390" spans="1:2" ht="13" hidden="1">
      <c r="A390" s="29"/>
      <c r="B390" s="29"/>
    </row>
    <row r="391" spans="1:2" ht="13" hidden="1">
      <c r="A391" s="29"/>
      <c r="B391" s="29"/>
    </row>
    <row r="392" spans="1:2" ht="13" hidden="1">
      <c r="A392" s="29"/>
      <c r="B392" s="29"/>
    </row>
    <row r="393" spans="1:2" ht="13" hidden="1">
      <c r="A393" s="29"/>
      <c r="B393" s="29"/>
    </row>
    <row r="394" spans="1:2" ht="13" hidden="1">
      <c r="A394" s="29"/>
      <c r="B394" s="29"/>
    </row>
    <row r="395" spans="1:2" ht="13" hidden="1">
      <c r="A395" s="29"/>
      <c r="B395" s="29"/>
    </row>
    <row r="396" spans="1:2" ht="13" hidden="1">
      <c r="A396" s="29"/>
      <c r="B396" s="29"/>
    </row>
    <row r="397" spans="1:2" ht="13" hidden="1">
      <c r="A397" s="29"/>
      <c r="B397" s="29"/>
    </row>
    <row r="398" spans="1:2" ht="13" hidden="1">
      <c r="A398" s="29"/>
      <c r="B398" s="29"/>
    </row>
    <row r="399" spans="1:2" ht="13" hidden="1">
      <c r="A399" s="29"/>
      <c r="B399" s="29"/>
    </row>
    <row r="400" spans="1:2" ht="13" hidden="1">
      <c r="A400" s="29"/>
      <c r="B400" s="29"/>
    </row>
    <row r="401" spans="1:2" ht="13" hidden="1">
      <c r="A401" s="29"/>
      <c r="B401" s="29"/>
    </row>
    <row r="402" spans="1:2" ht="13" hidden="1">
      <c r="A402" s="29"/>
      <c r="B402" s="29"/>
    </row>
    <row r="403" spans="1:2" ht="13" hidden="1">
      <c r="A403" s="29"/>
      <c r="B403" s="29"/>
    </row>
    <row r="404" spans="1:2" ht="13" hidden="1">
      <c r="A404" s="29"/>
      <c r="B404" s="29"/>
    </row>
    <row r="405" spans="1:2" ht="13" hidden="1">
      <c r="A405" s="29"/>
      <c r="B405" s="29"/>
    </row>
    <row r="406" spans="1:2" ht="13" hidden="1">
      <c r="A406" s="29"/>
      <c r="B406" s="29"/>
    </row>
    <row r="407" spans="1:2" ht="13" hidden="1">
      <c r="A407" s="29"/>
      <c r="B407" s="29"/>
    </row>
    <row r="408" spans="1:2" ht="13" hidden="1">
      <c r="A408" s="29"/>
      <c r="B408" s="29"/>
    </row>
    <row r="409" spans="1:2" ht="13" hidden="1">
      <c r="A409" s="29"/>
      <c r="B409" s="29"/>
    </row>
    <row r="410" spans="1:2" ht="13" hidden="1">
      <c r="A410" s="29"/>
      <c r="B410" s="29"/>
    </row>
    <row r="411" spans="1:2" ht="13" hidden="1">
      <c r="A411" s="29"/>
      <c r="B411" s="29"/>
    </row>
    <row r="412" spans="1:2" ht="13" hidden="1">
      <c r="A412" s="29"/>
      <c r="B412" s="29"/>
    </row>
    <row r="413" spans="1:2" ht="13" hidden="1">
      <c r="A413" s="29"/>
      <c r="B413" s="29"/>
    </row>
    <row r="414" spans="1:2" ht="13" hidden="1">
      <c r="A414" s="29"/>
      <c r="B414" s="29"/>
    </row>
    <row r="415" spans="1:2" ht="13" hidden="1">
      <c r="A415" s="29"/>
      <c r="B415" s="29"/>
    </row>
    <row r="416" spans="1:2" ht="13" hidden="1">
      <c r="A416" s="29"/>
      <c r="B416" s="29"/>
    </row>
    <row r="417" spans="1:2" ht="13" hidden="1">
      <c r="A417" s="29"/>
      <c r="B417" s="29"/>
    </row>
    <row r="418" spans="1:2" ht="13" hidden="1">
      <c r="A418" s="29"/>
      <c r="B418" s="29"/>
    </row>
    <row r="419" spans="1:2" ht="13" hidden="1">
      <c r="A419" s="29"/>
      <c r="B419" s="29"/>
    </row>
    <row r="420" spans="1:2" ht="13" hidden="1">
      <c r="A420" s="29"/>
      <c r="B420" s="29"/>
    </row>
    <row r="421" spans="1:2" ht="13" hidden="1">
      <c r="A421" s="29"/>
      <c r="B421" s="29"/>
    </row>
    <row r="422" spans="1:2" ht="13" hidden="1">
      <c r="A422" s="29"/>
      <c r="B422" s="29"/>
    </row>
    <row r="423" spans="1:2" ht="13" hidden="1">
      <c r="A423" s="29"/>
      <c r="B423" s="29"/>
    </row>
    <row r="424" spans="1:2" ht="13" hidden="1">
      <c r="A424" s="29"/>
      <c r="B424" s="29"/>
    </row>
    <row r="425" spans="1:2" ht="13" hidden="1">
      <c r="A425" s="29"/>
      <c r="B425" s="29"/>
    </row>
    <row r="426" spans="1:2" ht="13" hidden="1">
      <c r="A426" s="29"/>
      <c r="B426" s="29"/>
    </row>
    <row r="427" spans="1:2" ht="13" hidden="1">
      <c r="A427" s="29"/>
      <c r="B427" s="29"/>
    </row>
    <row r="428" spans="1:2" ht="13" hidden="1">
      <c r="A428" s="29"/>
      <c r="B428" s="29"/>
    </row>
    <row r="429" spans="1:2" ht="13" hidden="1">
      <c r="A429" s="29"/>
      <c r="B429" s="29"/>
    </row>
    <row r="430" spans="1:2" ht="13" hidden="1">
      <c r="A430" s="29"/>
      <c r="B430" s="29"/>
    </row>
    <row r="431" spans="1:2" ht="13" hidden="1">
      <c r="A431" s="29"/>
      <c r="B431" s="29"/>
    </row>
    <row r="432" spans="1:2" ht="13" hidden="1">
      <c r="A432" s="29"/>
      <c r="B432" s="29"/>
    </row>
    <row r="433" spans="1:2" ht="13" hidden="1">
      <c r="A433" s="29"/>
      <c r="B433" s="29"/>
    </row>
    <row r="434" spans="1:2" ht="13" hidden="1">
      <c r="A434" s="29"/>
      <c r="B434" s="29"/>
    </row>
    <row r="435" spans="1:2" ht="13" hidden="1">
      <c r="A435" s="29"/>
      <c r="B435" s="29"/>
    </row>
    <row r="436" spans="1:2" ht="13" hidden="1">
      <c r="A436" s="29"/>
      <c r="B436" s="29"/>
    </row>
    <row r="437" spans="1:2" ht="13" hidden="1">
      <c r="A437" s="29"/>
      <c r="B437" s="29"/>
    </row>
    <row r="438" spans="1:2" ht="13" hidden="1">
      <c r="A438" s="29"/>
      <c r="B438" s="29"/>
    </row>
    <row r="439" spans="1:2" ht="13" hidden="1">
      <c r="A439" s="29"/>
      <c r="B439" s="29"/>
    </row>
    <row r="440" spans="1:2" ht="13" hidden="1">
      <c r="A440" s="29"/>
      <c r="B440" s="29"/>
    </row>
    <row r="441" spans="1:2" ht="13" hidden="1">
      <c r="A441" s="29"/>
      <c r="B441" s="29"/>
    </row>
    <row r="442" spans="1:2" ht="13" hidden="1">
      <c r="A442" s="29"/>
      <c r="B442" s="29"/>
    </row>
    <row r="443" spans="1:2" ht="13" hidden="1">
      <c r="A443" s="29"/>
      <c r="B443" s="29"/>
    </row>
    <row r="444" spans="1:2" ht="13" hidden="1">
      <c r="A444" s="29"/>
      <c r="B444" s="29"/>
    </row>
    <row r="445" spans="1:2" ht="13" hidden="1">
      <c r="A445" s="29"/>
      <c r="B445" s="29"/>
    </row>
    <row r="446" spans="1:2" ht="13" hidden="1">
      <c r="A446" s="29"/>
      <c r="B446" s="29"/>
    </row>
    <row r="447" spans="1:2" ht="13" hidden="1">
      <c r="A447" s="29"/>
      <c r="B447" s="29"/>
    </row>
    <row r="448" spans="1:2" ht="13" hidden="1">
      <c r="A448" s="29"/>
      <c r="B448" s="29"/>
    </row>
    <row r="449" spans="1:2" ht="13" hidden="1">
      <c r="A449" s="29"/>
      <c r="B449" s="29"/>
    </row>
    <row r="450" spans="1:2" ht="13" hidden="1">
      <c r="A450" s="29"/>
      <c r="B450" s="29"/>
    </row>
    <row r="451" spans="1:2" ht="13" hidden="1">
      <c r="A451" s="29"/>
      <c r="B451" s="29"/>
    </row>
    <row r="452" spans="1:2" ht="13" hidden="1">
      <c r="A452" s="29"/>
      <c r="B452" s="29"/>
    </row>
    <row r="453" spans="1:2" ht="13" hidden="1">
      <c r="A453" s="29"/>
      <c r="B453" s="29"/>
    </row>
    <row r="454" spans="1:2" ht="13" hidden="1">
      <c r="A454" s="29"/>
      <c r="B454" s="29"/>
    </row>
    <row r="455" spans="1:2" ht="13" hidden="1">
      <c r="A455" s="29"/>
      <c r="B455" s="29"/>
    </row>
    <row r="456" spans="1:2" ht="13" hidden="1">
      <c r="A456" s="29"/>
      <c r="B456" s="29"/>
    </row>
    <row r="457" spans="1:2" ht="13" hidden="1">
      <c r="A457" s="29"/>
      <c r="B457" s="29"/>
    </row>
    <row r="458" spans="1:2" ht="13" hidden="1">
      <c r="A458" s="29"/>
      <c r="B458" s="29"/>
    </row>
    <row r="459" spans="1:2" ht="13" hidden="1">
      <c r="A459" s="29"/>
      <c r="B459" s="29"/>
    </row>
    <row r="460" spans="1:2" ht="13" hidden="1">
      <c r="A460" s="29"/>
      <c r="B460" s="29"/>
    </row>
    <row r="461" spans="1:2" ht="13" hidden="1">
      <c r="A461" s="29"/>
      <c r="B461" s="29"/>
    </row>
    <row r="462" spans="1:2" ht="13" hidden="1">
      <c r="A462" s="29"/>
      <c r="B462" s="29"/>
    </row>
    <row r="463" spans="1:2" ht="13" hidden="1">
      <c r="A463" s="29"/>
      <c r="B463" s="29"/>
    </row>
    <row r="464" spans="1:2" ht="13" hidden="1">
      <c r="A464" s="29"/>
      <c r="B464" s="29"/>
    </row>
    <row r="465" spans="1:2" ht="13" hidden="1">
      <c r="A465" s="29"/>
      <c r="B465" s="29"/>
    </row>
    <row r="466" spans="1:2" ht="13" hidden="1">
      <c r="A466" s="29"/>
      <c r="B466" s="29"/>
    </row>
    <row r="467" spans="1:2" ht="13" hidden="1">
      <c r="A467" s="29"/>
      <c r="B467" s="29"/>
    </row>
    <row r="468" spans="1:2" ht="13" hidden="1">
      <c r="A468" s="29"/>
      <c r="B468" s="29"/>
    </row>
    <row r="469" spans="1:2" ht="13" hidden="1">
      <c r="A469" s="29"/>
      <c r="B469" s="29"/>
    </row>
    <row r="470" spans="1:2" ht="13" hidden="1">
      <c r="A470" s="29"/>
      <c r="B470" s="29"/>
    </row>
    <row r="471" spans="1:2" ht="13" hidden="1">
      <c r="A471" s="29"/>
      <c r="B471" s="29"/>
    </row>
    <row r="472" spans="1:2" ht="13" hidden="1">
      <c r="A472" s="29"/>
      <c r="B472" s="29"/>
    </row>
    <row r="473" spans="1:2" ht="13" hidden="1">
      <c r="A473" s="29"/>
      <c r="B473" s="29"/>
    </row>
    <row r="474" spans="1:2" ht="13" hidden="1">
      <c r="A474" s="29"/>
      <c r="B474" s="29"/>
    </row>
    <row r="475" spans="1:2" ht="13" hidden="1">
      <c r="A475" s="29"/>
      <c r="B475" s="29"/>
    </row>
    <row r="476" spans="1:2" ht="13" hidden="1">
      <c r="A476" s="29"/>
      <c r="B476" s="29"/>
    </row>
    <row r="477" spans="1:2" ht="13" hidden="1">
      <c r="A477" s="29"/>
      <c r="B477" s="29"/>
    </row>
    <row r="478" spans="1:2" ht="13" hidden="1">
      <c r="A478" s="29"/>
      <c r="B478" s="29"/>
    </row>
    <row r="479" spans="1:2" ht="13" hidden="1">
      <c r="A479" s="29"/>
      <c r="B479" s="29"/>
    </row>
    <row r="480" spans="1:2" ht="13" hidden="1">
      <c r="A480" s="29"/>
      <c r="B480" s="29"/>
    </row>
    <row r="481" spans="1:2" ht="13" hidden="1">
      <c r="A481" s="29"/>
      <c r="B481" s="29"/>
    </row>
    <row r="482" spans="1:2" ht="13" hidden="1">
      <c r="A482" s="29"/>
      <c r="B482" s="29"/>
    </row>
    <row r="483" spans="1:2" ht="13" hidden="1">
      <c r="A483" s="29"/>
      <c r="B483" s="29"/>
    </row>
    <row r="484" spans="1:2" ht="13" hidden="1">
      <c r="A484" s="29"/>
      <c r="B484" s="29"/>
    </row>
    <row r="485" spans="1:2" ht="13" hidden="1">
      <c r="A485" s="29"/>
      <c r="B485" s="29"/>
    </row>
    <row r="486" spans="1:2" ht="13" hidden="1">
      <c r="A486" s="29"/>
      <c r="B486" s="29"/>
    </row>
    <row r="487" spans="1:2" ht="13" hidden="1">
      <c r="A487" s="29"/>
      <c r="B487" s="29"/>
    </row>
    <row r="488" spans="1:2" ht="13" hidden="1">
      <c r="A488" s="29"/>
      <c r="B488" s="29"/>
    </row>
    <row r="489" spans="1:2" ht="13" hidden="1">
      <c r="A489" s="29"/>
      <c r="B489" s="29"/>
    </row>
    <row r="490" spans="1:2" ht="13" hidden="1">
      <c r="A490" s="29"/>
      <c r="B490" s="29"/>
    </row>
    <row r="491" spans="1:2" ht="13" hidden="1">
      <c r="A491" s="29"/>
      <c r="B491" s="29"/>
    </row>
    <row r="492" spans="1:2" ht="13" hidden="1">
      <c r="A492" s="29"/>
      <c r="B492" s="29"/>
    </row>
    <row r="493" spans="1:2" ht="13" hidden="1">
      <c r="A493" s="29"/>
      <c r="B493" s="29"/>
    </row>
    <row r="494" spans="1:2" ht="13" hidden="1">
      <c r="A494" s="29"/>
      <c r="B494" s="29"/>
    </row>
    <row r="495" spans="1:2" ht="13" hidden="1">
      <c r="A495" s="29"/>
      <c r="B495" s="29"/>
    </row>
    <row r="496" spans="1:2" ht="13" hidden="1">
      <c r="A496" s="29"/>
      <c r="B496" s="29"/>
    </row>
    <row r="497" spans="1:2" ht="13" hidden="1">
      <c r="A497" s="29"/>
      <c r="B497" s="29"/>
    </row>
    <row r="498" spans="1:2" ht="13" hidden="1">
      <c r="A498" s="29"/>
      <c r="B498" s="29"/>
    </row>
    <row r="499" spans="1:2" ht="13" hidden="1">
      <c r="A499" s="29"/>
      <c r="B499" s="29"/>
    </row>
    <row r="500" spans="1:2" ht="13" hidden="1">
      <c r="A500" s="29"/>
      <c r="B500" s="29"/>
    </row>
    <row r="501" spans="1:2" ht="13" hidden="1">
      <c r="A501" s="29"/>
      <c r="B501" s="29"/>
    </row>
    <row r="502" spans="1:2" ht="13" hidden="1">
      <c r="A502" s="29"/>
      <c r="B502" s="29"/>
    </row>
    <row r="503" spans="1:2" ht="13" hidden="1">
      <c r="A503" s="29"/>
      <c r="B503" s="29"/>
    </row>
    <row r="504" spans="1:2" ht="13" hidden="1">
      <c r="A504" s="29"/>
      <c r="B504" s="29"/>
    </row>
    <row r="505" spans="1:2" ht="13" hidden="1">
      <c r="A505" s="29"/>
      <c r="B505" s="29"/>
    </row>
    <row r="506" spans="1:2" ht="13" hidden="1">
      <c r="A506" s="29"/>
      <c r="B506" s="29"/>
    </row>
    <row r="507" spans="1:2" ht="13" hidden="1">
      <c r="A507" s="29"/>
      <c r="B507" s="29"/>
    </row>
    <row r="508" spans="1:2" ht="13" hidden="1">
      <c r="A508" s="29"/>
      <c r="B508" s="29"/>
    </row>
    <row r="509" spans="1:2" ht="13" hidden="1">
      <c r="A509" s="29"/>
      <c r="B509" s="29"/>
    </row>
    <row r="510" spans="1:2" ht="13" hidden="1">
      <c r="A510" s="29"/>
      <c r="B510" s="29"/>
    </row>
    <row r="511" spans="1:2" ht="13" hidden="1">
      <c r="A511" s="29"/>
      <c r="B511" s="29"/>
    </row>
    <row r="512" spans="1:2" ht="13" hidden="1">
      <c r="A512" s="29"/>
      <c r="B512" s="29"/>
    </row>
    <row r="513" spans="1:2" ht="13" hidden="1">
      <c r="A513" s="29"/>
      <c r="B513" s="29"/>
    </row>
    <row r="514" spans="1:2" ht="13" hidden="1">
      <c r="A514" s="29"/>
      <c r="B514" s="29"/>
    </row>
    <row r="515" spans="1:2" ht="13" hidden="1">
      <c r="A515" s="29"/>
      <c r="B515" s="29"/>
    </row>
    <row r="516" spans="1:2" ht="13" hidden="1">
      <c r="A516" s="29"/>
      <c r="B516" s="29"/>
    </row>
    <row r="517" spans="1:2" ht="13" hidden="1">
      <c r="A517" s="29"/>
      <c r="B517" s="29"/>
    </row>
    <row r="518" spans="1:2" ht="13" hidden="1">
      <c r="A518" s="29"/>
      <c r="B518" s="29"/>
    </row>
    <row r="519" spans="1:2" ht="13" hidden="1">
      <c r="A519" s="29"/>
      <c r="B519" s="29"/>
    </row>
    <row r="520" spans="1:2" ht="13" hidden="1">
      <c r="A520" s="29"/>
      <c r="B520" s="29"/>
    </row>
    <row r="521" spans="1:2" ht="13" hidden="1">
      <c r="A521" s="29"/>
      <c r="B521" s="29"/>
    </row>
    <row r="522" spans="1:2" ht="13" hidden="1">
      <c r="A522" s="29"/>
      <c r="B522" s="29"/>
    </row>
    <row r="523" spans="1:2" ht="13" hidden="1">
      <c r="A523" s="29"/>
      <c r="B523" s="29"/>
    </row>
    <row r="524" spans="1:2" ht="13" hidden="1">
      <c r="A524" s="29"/>
      <c r="B524" s="29"/>
    </row>
    <row r="525" spans="1:2" ht="13" hidden="1">
      <c r="A525" s="29"/>
      <c r="B525" s="29"/>
    </row>
    <row r="526" spans="1:2" ht="13" hidden="1">
      <c r="A526" s="29"/>
      <c r="B526" s="29"/>
    </row>
    <row r="527" spans="1:2" ht="13" hidden="1">
      <c r="A527" s="29"/>
      <c r="B527" s="29"/>
    </row>
    <row r="528" spans="1:2" ht="13" hidden="1">
      <c r="A528" s="29"/>
      <c r="B528" s="29"/>
    </row>
    <row r="529" spans="1:2" ht="13" hidden="1">
      <c r="A529" s="29"/>
      <c r="B529" s="29"/>
    </row>
    <row r="530" spans="1:2" ht="13" hidden="1">
      <c r="A530" s="29"/>
      <c r="B530" s="29"/>
    </row>
    <row r="531" spans="1:2" ht="13" hidden="1">
      <c r="A531" s="29"/>
      <c r="B531" s="29"/>
    </row>
    <row r="532" spans="1:2" ht="13" hidden="1">
      <c r="A532" s="29"/>
      <c r="B532" s="29"/>
    </row>
    <row r="533" spans="1:2" ht="13" hidden="1">
      <c r="A533" s="29"/>
      <c r="B533" s="29"/>
    </row>
    <row r="534" spans="1:2" ht="13" hidden="1">
      <c r="A534" s="29"/>
      <c r="B534" s="29"/>
    </row>
    <row r="535" spans="1:2" ht="13" hidden="1">
      <c r="A535" s="29"/>
      <c r="B535" s="29"/>
    </row>
    <row r="536" spans="1:2" ht="13" hidden="1">
      <c r="A536" s="29"/>
      <c r="B536" s="29"/>
    </row>
    <row r="537" spans="1:2" ht="13" hidden="1">
      <c r="A537" s="29"/>
      <c r="B537" s="29"/>
    </row>
    <row r="538" spans="1:2" ht="13" hidden="1">
      <c r="A538" s="29"/>
      <c r="B538" s="29"/>
    </row>
    <row r="539" spans="1:2" ht="13" hidden="1">
      <c r="A539" s="29"/>
      <c r="B539" s="29"/>
    </row>
    <row r="540" spans="1:2" ht="13" hidden="1">
      <c r="A540" s="29"/>
      <c r="B540" s="29"/>
    </row>
    <row r="541" spans="1:2" ht="13" hidden="1">
      <c r="A541" s="29"/>
      <c r="B541" s="29"/>
    </row>
    <row r="542" spans="1:2" ht="13" hidden="1">
      <c r="A542" s="29"/>
      <c r="B542" s="29"/>
    </row>
    <row r="543" spans="1:2" ht="13" hidden="1">
      <c r="A543" s="29"/>
      <c r="B543" s="29"/>
    </row>
    <row r="544" spans="1:2" ht="13" hidden="1">
      <c r="A544" s="29"/>
      <c r="B544" s="29"/>
    </row>
    <row r="545" spans="1:2" ht="13" hidden="1">
      <c r="A545" s="29"/>
      <c r="B545" s="29"/>
    </row>
    <row r="546" spans="1:2" ht="13" hidden="1">
      <c r="A546" s="29"/>
      <c r="B546" s="29"/>
    </row>
    <row r="547" spans="1:2" ht="13" hidden="1">
      <c r="A547" s="29"/>
      <c r="B547" s="29"/>
    </row>
    <row r="548" spans="1:2" ht="13" hidden="1">
      <c r="A548" s="29"/>
      <c r="B548" s="29"/>
    </row>
    <row r="549" spans="1:2" ht="13" hidden="1">
      <c r="A549" s="29"/>
      <c r="B549" s="29"/>
    </row>
    <row r="550" spans="1:2" ht="13" hidden="1">
      <c r="A550" s="29"/>
      <c r="B550" s="29"/>
    </row>
    <row r="551" spans="1:2" ht="13" hidden="1">
      <c r="A551" s="29"/>
      <c r="B551" s="29"/>
    </row>
    <row r="552" spans="1:2" ht="13" hidden="1">
      <c r="A552" s="29"/>
      <c r="B552" s="29"/>
    </row>
    <row r="553" spans="1:2" ht="13" hidden="1">
      <c r="A553" s="29"/>
      <c r="B553" s="29"/>
    </row>
    <row r="554" spans="1:2" ht="13" hidden="1">
      <c r="A554" s="29"/>
      <c r="B554" s="29"/>
    </row>
    <row r="555" spans="1:2" ht="13" hidden="1">
      <c r="A555" s="29"/>
      <c r="B555" s="29"/>
    </row>
    <row r="556" spans="1:2" ht="13" hidden="1">
      <c r="A556" s="29"/>
      <c r="B556" s="29"/>
    </row>
    <row r="557" spans="1:2" ht="13" hidden="1">
      <c r="A557" s="29"/>
      <c r="B557" s="29"/>
    </row>
    <row r="558" spans="1:2" ht="13" hidden="1">
      <c r="A558" s="29"/>
      <c r="B558" s="29"/>
    </row>
    <row r="559" spans="1:2" ht="13" hidden="1">
      <c r="A559" s="29"/>
      <c r="B559" s="29"/>
    </row>
    <row r="560" spans="1:2" ht="13" hidden="1">
      <c r="A560" s="29"/>
      <c r="B560" s="29"/>
    </row>
    <row r="561" spans="1:2" ht="13" hidden="1">
      <c r="A561" s="29"/>
      <c r="B561" s="29"/>
    </row>
    <row r="562" spans="1:2" ht="13" hidden="1">
      <c r="A562" s="29"/>
      <c r="B562" s="29"/>
    </row>
    <row r="563" spans="1:2" ht="13" hidden="1">
      <c r="A563" s="29"/>
      <c r="B563" s="29"/>
    </row>
    <row r="564" spans="1:2" ht="13" hidden="1">
      <c r="A564" s="29"/>
      <c r="B564" s="29"/>
    </row>
    <row r="565" spans="1:2" ht="13" hidden="1">
      <c r="A565" s="29"/>
      <c r="B565" s="29"/>
    </row>
    <row r="566" spans="1:2" ht="13" hidden="1">
      <c r="A566" s="29"/>
      <c r="B566" s="29"/>
    </row>
    <row r="567" spans="1:2" ht="13" hidden="1">
      <c r="A567" s="29"/>
      <c r="B567" s="29"/>
    </row>
    <row r="568" spans="1:2" ht="13" hidden="1">
      <c r="A568" s="29"/>
      <c r="B568" s="29"/>
    </row>
    <row r="569" spans="1:2" ht="13" hidden="1">
      <c r="A569" s="29"/>
      <c r="B569" s="29"/>
    </row>
    <row r="570" spans="1:2" ht="13" hidden="1">
      <c r="A570" s="29"/>
      <c r="B570" s="29"/>
    </row>
    <row r="571" spans="1:2" ht="13" hidden="1">
      <c r="A571" s="29"/>
      <c r="B571" s="29"/>
    </row>
    <row r="572" spans="1:2" ht="13" hidden="1">
      <c r="A572" s="29"/>
      <c r="B572" s="29"/>
    </row>
    <row r="573" spans="1:2" ht="13" hidden="1">
      <c r="A573" s="29"/>
      <c r="B573" s="29"/>
    </row>
    <row r="574" spans="1:2" ht="13" hidden="1">
      <c r="A574" s="29"/>
      <c r="B574" s="29"/>
    </row>
    <row r="575" spans="1:2" ht="13" hidden="1">
      <c r="A575" s="29"/>
      <c r="B575" s="29"/>
    </row>
    <row r="576" spans="1:2" ht="13" hidden="1">
      <c r="A576" s="29"/>
      <c r="B576" s="29"/>
    </row>
    <row r="577" spans="1:2" ht="13" hidden="1">
      <c r="A577" s="29"/>
      <c r="B577" s="29"/>
    </row>
    <row r="578" spans="1:2" ht="13" hidden="1">
      <c r="A578" s="29"/>
      <c r="B578" s="29"/>
    </row>
    <row r="579" spans="1:2" ht="13" hidden="1">
      <c r="A579" s="29"/>
      <c r="B579" s="29"/>
    </row>
    <row r="580" spans="1:2" ht="13" hidden="1">
      <c r="A580" s="29"/>
      <c r="B580" s="29"/>
    </row>
    <row r="581" spans="1:2" ht="13" hidden="1">
      <c r="A581" s="29"/>
      <c r="B581" s="29"/>
    </row>
    <row r="582" spans="1:2" ht="13" hidden="1">
      <c r="A582" s="29"/>
      <c r="B582" s="29"/>
    </row>
    <row r="583" spans="1:2" ht="13" hidden="1">
      <c r="A583" s="29"/>
      <c r="B583" s="29"/>
    </row>
    <row r="584" spans="1:2" ht="13" hidden="1">
      <c r="A584" s="29"/>
      <c r="B584" s="29"/>
    </row>
    <row r="585" spans="1:2" ht="13" hidden="1">
      <c r="A585" s="29"/>
      <c r="B585" s="29"/>
    </row>
    <row r="586" spans="1:2" ht="13" hidden="1">
      <c r="A586" s="29"/>
      <c r="B586" s="29"/>
    </row>
    <row r="587" spans="1:2" ht="13" hidden="1">
      <c r="A587" s="29"/>
      <c r="B587" s="29"/>
    </row>
    <row r="588" spans="1:2" ht="13" hidden="1">
      <c r="A588" s="29"/>
      <c r="B588" s="29"/>
    </row>
    <row r="589" spans="1:2" ht="13" hidden="1">
      <c r="A589" s="29"/>
      <c r="B589" s="29"/>
    </row>
    <row r="590" spans="1:2" ht="13" hidden="1">
      <c r="A590" s="29"/>
      <c r="B590" s="29"/>
    </row>
    <row r="591" spans="1:2" ht="13" hidden="1">
      <c r="A591" s="29"/>
      <c r="B591" s="29"/>
    </row>
    <row r="592" spans="1:2" ht="13" hidden="1">
      <c r="A592" s="29"/>
      <c r="B592" s="29"/>
    </row>
    <row r="593" spans="1:2" ht="13" hidden="1">
      <c r="A593" s="29"/>
      <c r="B593" s="29"/>
    </row>
    <row r="594" spans="1:2" ht="13" hidden="1">
      <c r="A594" s="29"/>
      <c r="B594" s="29"/>
    </row>
    <row r="595" spans="1:2" ht="13" hidden="1">
      <c r="A595" s="29"/>
      <c r="B595" s="29"/>
    </row>
    <row r="596" spans="1:2" ht="13" hidden="1">
      <c r="A596" s="29"/>
      <c r="B596" s="29"/>
    </row>
    <row r="597" spans="1:2" ht="13" hidden="1">
      <c r="A597" s="29"/>
      <c r="B597" s="29"/>
    </row>
    <row r="598" spans="1:2" ht="13" hidden="1">
      <c r="A598" s="29"/>
      <c r="B598" s="29"/>
    </row>
    <row r="599" spans="1:2" ht="13" hidden="1">
      <c r="A599" s="29"/>
      <c r="B599" s="29"/>
    </row>
    <row r="600" spans="1:2" ht="13" hidden="1">
      <c r="A600" s="29"/>
      <c r="B600" s="29"/>
    </row>
    <row r="601" spans="1:2" ht="13" hidden="1">
      <c r="A601" s="29"/>
      <c r="B601" s="29"/>
    </row>
    <row r="602" spans="1:2" ht="13" hidden="1">
      <c r="A602" s="29"/>
      <c r="B602" s="29"/>
    </row>
    <row r="603" spans="1:2" ht="13" hidden="1">
      <c r="A603" s="29"/>
      <c r="B603" s="29"/>
    </row>
    <row r="604" spans="1:2" ht="13" hidden="1">
      <c r="A604" s="29"/>
      <c r="B604" s="29"/>
    </row>
    <row r="605" spans="1:2" ht="13" hidden="1">
      <c r="A605" s="29"/>
      <c r="B605" s="29"/>
    </row>
    <row r="606" spans="1:2" ht="13" hidden="1">
      <c r="A606" s="29"/>
      <c r="B606" s="29"/>
    </row>
    <row r="607" spans="1:2" ht="13" hidden="1">
      <c r="A607" s="29"/>
      <c r="B607" s="29"/>
    </row>
    <row r="608" spans="1:2" ht="13" hidden="1">
      <c r="A608" s="29"/>
      <c r="B608" s="29"/>
    </row>
    <row r="609" spans="1:2" ht="13" hidden="1">
      <c r="A609" s="29"/>
      <c r="B609" s="29"/>
    </row>
    <row r="610" spans="1:2" ht="13" hidden="1">
      <c r="A610" s="29"/>
      <c r="B610" s="29"/>
    </row>
    <row r="611" spans="1:2" ht="13" hidden="1">
      <c r="A611" s="29"/>
      <c r="B611" s="29"/>
    </row>
    <row r="612" spans="1:2" ht="13" hidden="1">
      <c r="A612" s="29"/>
      <c r="B612" s="29"/>
    </row>
    <row r="613" spans="1:2" ht="13" hidden="1">
      <c r="A613" s="29"/>
      <c r="B613" s="29"/>
    </row>
    <row r="614" spans="1:2" ht="13" hidden="1">
      <c r="A614" s="29"/>
      <c r="B614" s="29"/>
    </row>
    <row r="615" spans="1:2" ht="13" hidden="1">
      <c r="A615" s="29"/>
      <c r="B615" s="29"/>
    </row>
    <row r="616" spans="1:2" ht="13" hidden="1">
      <c r="A616" s="29"/>
      <c r="B616" s="29"/>
    </row>
    <row r="617" spans="1:2" ht="13" hidden="1">
      <c r="A617" s="29"/>
      <c r="B617" s="29"/>
    </row>
    <row r="618" spans="1:2" ht="13" hidden="1">
      <c r="A618" s="29"/>
      <c r="B618" s="29"/>
    </row>
    <row r="619" spans="1:2" ht="13" hidden="1">
      <c r="A619" s="29"/>
      <c r="B619" s="29"/>
    </row>
    <row r="620" spans="1:2" ht="13" hidden="1">
      <c r="A620" s="29"/>
      <c r="B620" s="29"/>
    </row>
    <row r="621" spans="1:2" ht="13" hidden="1">
      <c r="A621" s="29"/>
      <c r="B621" s="29"/>
    </row>
    <row r="622" spans="1:2" ht="13" hidden="1">
      <c r="A622" s="29"/>
      <c r="B622" s="29"/>
    </row>
    <row r="623" spans="1:2" ht="13" hidden="1">
      <c r="A623" s="29"/>
      <c r="B623" s="29"/>
    </row>
    <row r="624" spans="1:2" ht="13" hidden="1">
      <c r="A624" s="29"/>
      <c r="B624" s="29"/>
    </row>
    <row r="625" spans="1:2" ht="13" hidden="1">
      <c r="A625" s="29"/>
      <c r="B625" s="29"/>
    </row>
    <row r="626" spans="1:2" ht="13" hidden="1">
      <c r="A626" s="29"/>
      <c r="B626" s="29"/>
    </row>
    <row r="627" spans="1:2" ht="13" hidden="1">
      <c r="A627" s="29"/>
      <c r="B627" s="29"/>
    </row>
    <row r="628" spans="1:2" ht="13" hidden="1">
      <c r="A628" s="29"/>
      <c r="B628" s="29"/>
    </row>
    <row r="629" spans="1:2" ht="13" hidden="1">
      <c r="A629" s="29"/>
      <c r="B629" s="29"/>
    </row>
    <row r="630" spans="1:2" ht="13" hidden="1">
      <c r="A630" s="29"/>
      <c r="B630" s="29"/>
    </row>
    <row r="631" spans="1:2" ht="13" hidden="1">
      <c r="A631" s="29"/>
      <c r="B631" s="29"/>
    </row>
    <row r="632" spans="1:2" ht="13" hidden="1">
      <c r="A632" s="29"/>
      <c r="B632" s="29"/>
    </row>
    <row r="633" spans="1:2" ht="13" hidden="1">
      <c r="A633" s="29"/>
      <c r="B633" s="29"/>
    </row>
    <row r="634" spans="1:2" ht="13" hidden="1">
      <c r="A634" s="29"/>
      <c r="B634" s="29"/>
    </row>
    <row r="635" spans="1:2" ht="13" hidden="1">
      <c r="A635" s="29"/>
      <c r="B635" s="29"/>
    </row>
    <row r="636" spans="1:2" ht="13" hidden="1">
      <c r="A636" s="29"/>
      <c r="B636" s="29"/>
    </row>
    <row r="637" spans="1:2" ht="13" hidden="1">
      <c r="A637" s="29"/>
      <c r="B637" s="29"/>
    </row>
    <row r="638" spans="1:2" ht="13" hidden="1">
      <c r="A638" s="29"/>
      <c r="B638" s="29"/>
    </row>
    <row r="639" spans="1:2" ht="13" hidden="1">
      <c r="A639" s="29"/>
      <c r="B639" s="29"/>
    </row>
    <row r="640" spans="1:2" ht="13" hidden="1">
      <c r="A640" s="29"/>
      <c r="B640" s="29"/>
    </row>
    <row r="641" spans="1:2" ht="13" hidden="1">
      <c r="A641" s="29"/>
      <c r="B641" s="29"/>
    </row>
    <row r="642" spans="1:2" ht="13" hidden="1">
      <c r="A642" s="29"/>
      <c r="B642" s="29"/>
    </row>
    <row r="643" spans="1:2" ht="13" hidden="1">
      <c r="A643" s="29"/>
      <c r="B643" s="29"/>
    </row>
    <row r="644" spans="1:2" ht="13" hidden="1">
      <c r="A644" s="29"/>
      <c r="B644" s="29"/>
    </row>
    <row r="645" spans="1:2" ht="13" hidden="1">
      <c r="A645" s="29"/>
      <c r="B645" s="29"/>
    </row>
    <row r="646" spans="1:2" ht="13" hidden="1">
      <c r="A646" s="29"/>
      <c r="B646" s="29"/>
    </row>
    <row r="647" spans="1:2" ht="13" hidden="1">
      <c r="A647" s="29"/>
      <c r="B647" s="29"/>
    </row>
    <row r="648" spans="1:2" ht="13" hidden="1">
      <c r="A648" s="29"/>
      <c r="B648" s="29"/>
    </row>
    <row r="649" spans="1:2" ht="13" hidden="1">
      <c r="A649" s="29"/>
      <c r="B649" s="29"/>
    </row>
    <row r="650" spans="1:2" ht="13" hidden="1">
      <c r="A650" s="29"/>
      <c r="B650" s="29"/>
    </row>
    <row r="651" spans="1:2" ht="13" hidden="1">
      <c r="A651" s="29"/>
      <c r="B651" s="29"/>
    </row>
    <row r="652" spans="1:2" ht="13" hidden="1">
      <c r="A652" s="29"/>
      <c r="B652" s="29"/>
    </row>
    <row r="653" spans="1:2" ht="13" hidden="1">
      <c r="A653" s="29"/>
      <c r="B653" s="29"/>
    </row>
    <row r="654" spans="1:2" ht="13" hidden="1">
      <c r="A654" s="29"/>
      <c r="B654" s="29"/>
    </row>
    <row r="655" spans="1:2" ht="13" hidden="1">
      <c r="A655" s="29"/>
      <c r="B655" s="29"/>
    </row>
    <row r="656" spans="1:2" ht="13" hidden="1">
      <c r="A656" s="29"/>
      <c r="B656" s="29"/>
    </row>
    <row r="657" spans="1:2" ht="13" hidden="1">
      <c r="A657" s="29"/>
      <c r="B657" s="29"/>
    </row>
    <row r="658" spans="1:2" ht="13" hidden="1">
      <c r="A658" s="29"/>
      <c r="B658" s="29"/>
    </row>
    <row r="659" spans="1:2" ht="13" hidden="1">
      <c r="A659" s="29"/>
      <c r="B659" s="29"/>
    </row>
    <row r="660" spans="1:2" ht="13" hidden="1">
      <c r="A660" s="29"/>
      <c r="B660" s="29"/>
    </row>
    <row r="661" spans="1:2" ht="13" hidden="1">
      <c r="A661" s="29"/>
      <c r="B661" s="29"/>
    </row>
    <row r="662" spans="1:2" ht="13" hidden="1">
      <c r="A662" s="29"/>
      <c r="B662" s="29"/>
    </row>
    <row r="663" spans="1:2" ht="13" hidden="1">
      <c r="A663" s="29"/>
      <c r="B663" s="29"/>
    </row>
    <row r="664" spans="1:2" ht="13" hidden="1">
      <c r="A664" s="29"/>
      <c r="B664" s="29"/>
    </row>
    <row r="665" spans="1:2" ht="13" hidden="1">
      <c r="A665" s="29"/>
      <c r="B665" s="29"/>
    </row>
    <row r="666" spans="1:2" ht="13" hidden="1">
      <c r="A666" s="29"/>
      <c r="B666" s="29"/>
    </row>
    <row r="667" spans="1:2" ht="13" hidden="1">
      <c r="A667" s="29"/>
      <c r="B667" s="29"/>
    </row>
    <row r="668" spans="1:2" ht="13" hidden="1">
      <c r="A668" s="29"/>
      <c r="B668" s="29"/>
    </row>
    <row r="669" spans="1:2" ht="13" hidden="1">
      <c r="A669" s="29"/>
      <c r="B669" s="29"/>
    </row>
    <row r="670" spans="1:2" ht="13" hidden="1">
      <c r="A670" s="29"/>
      <c r="B670" s="29"/>
    </row>
    <row r="671" spans="1:2" ht="13" hidden="1">
      <c r="A671" s="29"/>
      <c r="B671" s="29"/>
    </row>
    <row r="672" spans="1:2" ht="13" hidden="1">
      <c r="A672" s="29"/>
      <c r="B672" s="29"/>
    </row>
    <row r="673" spans="1:2" ht="13" hidden="1">
      <c r="A673" s="29"/>
      <c r="B673" s="29"/>
    </row>
    <row r="674" spans="1:2" ht="13" hidden="1">
      <c r="A674" s="29"/>
      <c r="B674" s="29"/>
    </row>
    <row r="675" spans="1:2" ht="13" hidden="1">
      <c r="A675" s="29"/>
      <c r="B675" s="29"/>
    </row>
    <row r="676" spans="1:2" ht="13" hidden="1">
      <c r="A676" s="29"/>
      <c r="B676" s="29"/>
    </row>
    <row r="677" spans="1:2" ht="13" hidden="1">
      <c r="A677" s="29"/>
      <c r="B677" s="29"/>
    </row>
    <row r="678" spans="1:2" ht="13" hidden="1">
      <c r="A678" s="29"/>
      <c r="B678" s="29"/>
    </row>
    <row r="679" spans="1:2" ht="13" hidden="1">
      <c r="A679" s="29"/>
      <c r="B679" s="29"/>
    </row>
    <row r="680" spans="1:2" ht="13" hidden="1">
      <c r="A680" s="29"/>
      <c r="B680" s="29"/>
    </row>
    <row r="681" spans="1:2" ht="13" hidden="1">
      <c r="A681" s="29"/>
      <c r="B681" s="29"/>
    </row>
    <row r="682" spans="1:2" ht="13" hidden="1">
      <c r="A682" s="29"/>
      <c r="B682" s="29"/>
    </row>
    <row r="683" spans="1:2" ht="13" hidden="1">
      <c r="A683" s="29"/>
      <c r="B683" s="29"/>
    </row>
    <row r="684" spans="1:2" ht="13" hidden="1">
      <c r="A684" s="29"/>
      <c r="B684" s="29"/>
    </row>
    <row r="685" spans="1:2" ht="13" hidden="1">
      <c r="A685" s="29"/>
      <c r="B685" s="29"/>
    </row>
    <row r="686" spans="1:2" ht="13" hidden="1">
      <c r="A686" s="29"/>
      <c r="B686" s="29"/>
    </row>
    <row r="687" spans="1:2" ht="13" hidden="1">
      <c r="A687" s="29"/>
      <c r="B687" s="29"/>
    </row>
    <row r="688" spans="1:2" ht="13" hidden="1">
      <c r="A688" s="29"/>
      <c r="B688" s="29"/>
    </row>
    <row r="689" spans="1:2" ht="13" hidden="1">
      <c r="A689" s="29"/>
      <c r="B689" s="29"/>
    </row>
    <row r="690" spans="1:2" ht="13" hidden="1">
      <c r="A690" s="29"/>
      <c r="B690" s="29"/>
    </row>
    <row r="691" spans="1:2" ht="13" hidden="1">
      <c r="A691" s="29"/>
      <c r="B691" s="29"/>
    </row>
    <row r="692" spans="1:2" ht="13" hidden="1">
      <c r="A692" s="29"/>
      <c r="B692" s="29"/>
    </row>
    <row r="693" spans="1:2" ht="13" hidden="1">
      <c r="A693" s="29"/>
      <c r="B693" s="29"/>
    </row>
    <row r="694" spans="1:2" ht="13" hidden="1">
      <c r="A694" s="29"/>
      <c r="B694" s="29"/>
    </row>
    <row r="695" spans="1:2" ht="13" hidden="1">
      <c r="A695" s="29"/>
      <c r="B695" s="29"/>
    </row>
    <row r="696" spans="1:2" ht="13" hidden="1">
      <c r="A696" s="29"/>
      <c r="B696" s="29"/>
    </row>
    <row r="697" spans="1:2" ht="13" hidden="1">
      <c r="A697" s="29"/>
      <c r="B697" s="29"/>
    </row>
    <row r="698" spans="1:2" ht="13" hidden="1">
      <c r="A698" s="29"/>
      <c r="B698" s="29"/>
    </row>
    <row r="699" spans="1:2" ht="13" hidden="1">
      <c r="A699" s="29"/>
      <c r="B699" s="29"/>
    </row>
    <row r="700" spans="1:2" ht="13" hidden="1">
      <c r="A700" s="29"/>
      <c r="B700" s="29"/>
    </row>
    <row r="701" spans="1:2" ht="13" hidden="1">
      <c r="A701" s="29"/>
      <c r="B701" s="29"/>
    </row>
    <row r="702" spans="1:2" ht="13" hidden="1">
      <c r="A702" s="29"/>
      <c r="B702" s="29"/>
    </row>
    <row r="703" spans="1:2" ht="13" hidden="1">
      <c r="A703" s="29"/>
      <c r="B703" s="29"/>
    </row>
    <row r="704" spans="1:2" ht="13" hidden="1">
      <c r="A704" s="29"/>
      <c r="B704" s="29"/>
    </row>
    <row r="705" spans="1:2" ht="13" hidden="1">
      <c r="A705" s="29"/>
      <c r="B705" s="29"/>
    </row>
    <row r="706" spans="1:2" ht="13" hidden="1">
      <c r="A706" s="29"/>
      <c r="B706" s="29"/>
    </row>
    <row r="707" spans="1:2" ht="13" hidden="1">
      <c r="A707" s="29"/>
      <c r="B707" s="29"/>
    </row>
    <row r="708" spans="1:2" ht="13" hidden="1">
      <c r="A708" s="29"/>
      <c r="B708" s="29"/>
    </row>
    <row r="709" spans="1:2" ht="13" hidden="1">
      <c r="A709" s="29"/>
      <c r="B709" s="29"/>
    </row>
    <row r="710" spans="1:2" ht="13" hidden="1">
      <c r="A710" s="29"/>
      <c r="B710" s="29"/>
    </row>
    <row r="711" spans="1:2" ht="13" hidden="1">
      <c r="A711" s="29"/>
      <c r="B711" s="29"/>
    </row>
    <row r="712" spans="1:2" ht="13" hidden="1">
      <c r="A712" s="29"/>
      <c r="B712" s="29"/>
    </row>
    <row r="713" spans="1:2" ht="13" hidden="1">
      <c r="A713" s="29"/>
      <c r="B713" s="29"/>
    </row>
    <row r="714" spans="1:2" ht="13" hidden="1">
      <c r="A714" s="29"/>
      <c r="B714" s="29"/>
    </row>
    <row r="715" spans="1:2" ht="13" hidden="1">
      <c r="A715" s="29"/>
      <c r="B715" s="29"/>
    </row>
    <row r="716" spans="1:2" ht="13" hidden="1">
      <c r="A716" s="29"/>
      <c r="B716" s="29"/>
    </row>
    <row r="717" spans="1:2" ht="13" hidden="1">
      <c r="A717" s="29"/>
      <c r="B717" s="29"/>
    </row>
    <row r="718" spans="1:2" ht="13" hidden="1">
      <c r="A718" s="29"/>
      <c r="B718" s="29"/>
    </row>
    <row r="719" spans="1:2" ht="13" hidden="1">
      <c r="A719" s="29"/>
      <c r="B719" s="29"/>
    </row>
    <row r="720" spans="1:2" ht="13" hidden="1">
      <c r="A720" s="29"/>
      <c r="B720" s="29"/>
    </row>
    <row r="721" spans="1:2" ht="13" hidden="1">
      <c r="A721" s="29"/>
      <c r="B721" s="29"/>
    </row>
    <row r="722" spans="1:2" ht="13" hidden="1">
      <c r="A722" s="29"/>
      <c r="B722" s="29"/>
    </row>
    <row r="723" spans="1:2" ht="13" hidden="1">
      <c r="A723" s="29"/>
      <c r="B723" s="29"/>
    </row>
    <row r="724" spans="1:2" ht="13" hidden="1">
      <c r="A724" s="29"/>
      <c r="B724" s="29"/>
    </row>
    <row r="725" spans="1:2" ht="13" hidden="1">
      <c r="A725" s="29"/>
      <c r="B725" s="29"/>
    </row>
    <row r="726" spans="1:2" ht="13" hidden="1">
      <c r="A726" s="29"/>
      <c r="B726" s="29"/>
    </row>
    <row r="727" spans="1:2" ht="13" hidden="1">
      <c r="A727" s="29"/>
      <c r="B727" s="29"/>
    </row>
    <row r="728" spans="1:2" ht="13" hidden="1">
      <c r="A728" s="29"/>
      <c r="B728" s="29"/>
    </row>
    <row r="729" spans="1:2" ht="13" hidden="1">
      <c r="A729" s="29"/>
      <c r="B729" s="29"/>
    </row>
    <row r="730" spans="1:2" ht="13" hidden="1">
      <c r="A730" s="29"/>
      <c r="B730" s="29"/>
    </row>
    <row r="731" spans="1:2" ht="13" hidden="1">
      <c r="A731" s="29"/>
      <c r="B731" s="29"/>
    </row>
    <row r="732" spans="1:2" ht="13" hidden="1">
      <c r="A732" s="29"/>
      <c r="B732" s="29"/>
    </row>
    <row r="733" spans="1:2" ht="13" hidden="1">
      <c r="A733" s="29"/>
      <c r="B733" s="29"/>
    </row>
    <row r="734" spans="1:2" ht="13" hidden="1">
      <c r="A734" s="29"/>
      <c r="B734" s="29"/>
    </row>
    <row r="735" spans="1:2" ht="13" hidden="1">
      <c r="A735" s="29"/>
      <c r="B735" s="29"/>
    </row>
    <row r="736" spans="1:2" ht="13" hidden="1">
      <c r="A736" s="29"/>
      <c r="B736" s="29"/>
    </row>
    <row r="737" spans="1:2" ht="13" hidden="1">
      <c r="A737" s="29"/>
      <c r="B737" s="29"/>
    </row>
    <row r="738" spans="1:2" ht="13" hidden="1">
      <c r="A738" s="29"/>
      <c r="B738" s="29"/>
    </row>
    <row r="739" spans="1:2" ht="13" hidden="1">
      <c r="A739" s="29"/>
      <c r="B739" s="29"/>
    </row>
    <row r="740" spans="1:2" ht="13" hidden="1">
      <c r="A740" s="29"/>
      <c r="B740" s="29"/>
    </row>
    <row r="741" spans="1:2" ht="13" hidden="1">
      <c r="A741" s="29"/>
      <c r="B741" s="29"/>
    </row>
    <row r="742" spans="1:2" ht="13" hidden="1">
      <c r="A742" s="29"/>
      <c r="B742" s="29"/>
    </row>
    <row r="743" spans="1:2" ht="13" hidden="1">
      <c r="A743" s="29"/>
      <c r="B743" s="29"/>
    </row>
    <row r="744" spans="1:2" ht="13" hidden="1">
      <c r="A744" s="29"/>
      <c r="B744" s="29"/>
    </row>
    <row r="745" spans="1:2" ht="13" hidden="1">
      <c r="A745" s="29"/>
      <c r="B745" s="29"/>
    </row>
    <row r="746" spans="1:2" ht="13" hidden="1">
      <c r="A746" s="29"/>
      <c r="B746" s="29"/>
    </row>
    <row r="747" spans="1:2" ht="13" hidden="1">
      <c r="A747" s="29"/>
      <c r="B747" s="29"/>
    </row>
    <row r="748" spans="1:2" ht="13" hidden="1">
      <c r="A748" s="29"/>
      <c r="B748" s="29"/>
    </row>
    <row r="749" spans="1:2" ht="13" hidden="1">
      <c r="A749" s="29"/>
      <c r="B749" s="29"/>
    </row>
    <row r="750" spans="1:2" ht="13" hidden="1">
      <c r="A750" s="29"/>
      <c r="B750" s="29"/>
    </row>
    <row r="751" spans="1:2" ht="13" hidden="1">
      <c r="A751" s="29"/>
      <c r="B751" s="29"/>
    </row>
    <row r="752" spans="1:2" ht="13" hidden="1">
      <c r="A752" s="29"/>
      <c r="B752" s="29"/>
    </row>
    <row r="753" spans="1:2" ht="13" hidden="1">
      <c r="A753" s="29"/>
      <c r="B753" s="29"/>
    </row>
    <row r="754" spans="1:2" ht="13" hidden="1">
      <c r="A754" s="29"/>
      <c r="B754" s="29"/>
    </row>
    <row r="755" spans="1:2" ht="13" hidden="1">
      <c r="A755" s="29"/>
      <c r="B755" s="29"/>
    </row>
    <row r="756" spans="1:2" ht="13" hidden="1">
      <c r="A756" s="29"/>
      <c r="B756" s="29"/>
    </row>
    <row r="757" spans="1:2" ht="13" hidden="1">
      <c r="A757" s="29"/>
      <c r="B757" s="29"/>
    </row>
    <row r="758" spans="1:2" ht="13" hidden="1">
      <c r="A758" s="29"/>
      <c r="B758" s="29"/>
    </row>
    <row r="759" spans="1:2" ht="13" hidden="1">
      <c r="A759" s="29"/>
      <c r="B759" s="29"/>
    </row>
    <row r="760" spans="1:2" ht="13" hidden="1">
      <c r="A760" s="29"/>
      <c r="B760" s="29"/>
    </row>
    <row r="761" spans="1:2" ht="13" hidden="1">
      <c r="A761" s="29"/>
      <c r="B761" s="29"/>
    </row>
    <row r="762" spans="1:2" ht="13" hidden="1">
      <c r="A762" s="29"/>
      <c r="B762" s="29"/>
    </row>
    <row r="763" spans="1:2" ht="13" hidden="1">
      <c r="A763" s="29"/>
      <c r="B763" s="29"/>
    </row>
    <row r="764" spans="1:2" ht="13" hidden="1">
      <c r="A764" s="29"/>
      <c r="B764" s="29"/>
    </row>
    <row r="765" spans="1:2" ht="13" hidden="1">
      <c r="A765" s="29"/>
      <c r="B765" s="29"/>
    </row>
    <row r="766" spans="1:2" ht="13" hidden="1">
      <c r="A766" s="29"/>
      <c r="B766" s="29"/>
    </row>
    <row r="767" spans="1:2" ht="13" hidden="1">
      <c r="A767" s="29"/>
      <c r="B767" s="29"/>
    </row>
    <row r="768" spans="1:2" ht="13" hidden="1">
      <c r="A768" s="29"/>
      <c r="B768" s="29"/>
    </row>
    <row r="769" spans="1:2" ht="13" hidden="1">
      <c r="A769" s="29"/>
      <c r="B769" s="29"/>
    </row>
    <row r="770" spans="1:2" ht="13" hidden="1">
      <c r="A770" s="29"/>
      <c r="B770" s="29"/>
    </row>
    <row r="771" spans="1:2" ht="13" hidden="1">
      <c r="A771" s="29"/>
      <c r="B771" s="29"/>
    </row>
    <row r="772" spans="1:2" ht="13" hidden="1">
      <c r="A772" s="29"/>
      <c r="B772" s="29"/>
    </row>
    <row r="773" spans="1:2" ht="13" hidden="1">
      <c r="A773" s="29"/>
      <c r="B773" s="29"/>
    </row>
    <row r="774" spans="1:2" ht="13" hidden="1">
      <c r="A774" s="29"/>
      <c r="B774" s="29"/>
    </row>
    <row r="775" spans="1:2" ht="13" hidden="1">
      <c r="A775" s="29"/>
      <c r="B775" s="29"/>
    </row>
    <row r="776" spans="1:2" ht="13" hidden="1">
      <c r="A776" s="29"/>
      <c r="B776" s="29"/>
    </row>
    <row r="777" spans="1:2" ht="13" hidden="1">
      <c r="A777" s="29"/>
      <c r="B777" s="29"/>
    </row>
    <row r="778" spans="1:2" ht="13" hidden="1">
      <c r="A778" s="29"/>
      <c r="B778" s="29"/>
    </row>
    <row r="779" spans="1:2" ht="13" hidden="1">
      <c r="A779" s="29"/>
      <c r="B779" s="29"/>
    </row>
    <row r="780" spans="1:2" ht="13" hidden="1">
      <c r="A780" s="29"/>
      <c r="B780" s="29"/>
    </row>
    <row r="781" spans="1:2" ht="13" hidden="1">
      <c r="A781" s="29"/>
      <c r="B781" s="29"/>
    </row>
    <row r="782" spans="1:2" ht="13" hidden="1">
      <c r="A782" s="29"/>
      <c r="B782" s="29"/>
    </row>
    <row r="783" spans="1:2" ht="13" hidden="1">
      <c r="A783" s="29"/>
      <c r="B783" s="29"/>
    </row>
    <row r="784" spans="1:2" ht="13" hidden="1">
      <c r="A784" s="29"/>
      <c r="B784" s="29"/>
    </row>
    <row r="785" spans="1:2" ht="13" hidden="1">
      <c r="A785" s="29"/>
      <c r="B785" s="29"/>
    </row>
    <row r="786" spans="1:2" ht="13" hidden="1">
      <c r="A786" s="29"/>
      <c r="B786" s="29"/>
    </row>
    <row r="787" spans="1:2" ht="13" hidden="1">
      <c r="A787" s="29"/>
      <c r="B787" s="29"/>
    </row>
    <row r="788" spans="1:2" ht="13" hidden="1">
      <c r="A788" s="29"/>
      <c r="B788" s="29"/>
    </row>
    <row r="789" spans="1:2" ht="13" hidden="1">
      <c r="A789" s="29"/>
      <c r="B789" s="29"/>
    </row>
    <row r="790" spans="1:2" ht="13" hidden="1">
      <c r="A790" s="29"/>
      <c r="B790" s="29"/>
    </row>
    <row r="791" spans="1:2" ht="13" hidden="1">
      <c r="A791" s="29"/>
      <c r="B791" s="29"/>
    </row>
    <row r="792" spans="1:2" ht="13" hidden="1">
      <c r="A792" s="29"/>
      <c r="B792" s="29"/>
    </row>
    <row r="793" spans="1:2" ht="13" hidden="1">
      <c r="A793" s="29"/>
      <c r="B793" s="29"/>
    </row>
    <row r="794" spans="1:2" ht="13" hidden="1">
      <c r="A794" s="29"/>
      <c r="B794" s="29"/>
    </row>
    <row r="795" spans="1:2" ht="13" hidden="1">
      <c r="A795" s="29"/>
      <c r="B795" s="29"/>
    </row>
    <row r="796" spans="1:2" ht="13" hidden="1">
      <c r="A796" s="29"/>
      <c r="B796" s="29"/>
    </row>
    <row r="797" spans="1:2" ht="13" hidden="1">
      <c r="A797" s="29"/>
      <c r="B797" s="29"/>
    </row>
    <row r="798" spans="1:2" ht="13" hidden="1">
      <c r="A798" s="29"/>
      <c r="B798" s="29"/>
    </row>
    <row r="799" spans="1:2" ht="13" hidden="1">
      <c r="A799" s="29"/>
      <c r="B799" s="29"/>
    </row>
    <row r="800" spans="1:2" ht="13" hidden="1">
      <c r="A800" s="29"/>
      <c r="B800" s="29"/>
    </row>
    <row r="801" spans="1:2" ht="13" hidden="1">
      <c r="A801" s="29"/>
      <c r="B801" s="29"/>
    </row>
    <row r="802" spans="1:2" ht="13" hidden="1">
      <c r="A802" s="29"/>
      <c r="B802" s="29"/>
    </row>
    <row r="803" spans="1:2" ht="13" hidden="1">
      <c r="A803" s="29"/>
      <c r="B803" s="29"/>
    </row>
    <row r="804" spans="1:2" ht="13" hidden="1">
      <c r="A804" s="29"/>
      <c r="B804" s="29"/>
    </row>
    <row r="805" spans="1:2" ht="13" hidden="1">
      <c r="A805" s="29"/>
      <c r="B805" s="29"/>
    </row>
    <row r="806" spans="1:2" ht="13" hidden="1">
      <c r="A806" s="29"/>
      <c r="B806" s="29"/>
    </row>
    <row r="807" spans="1:2" ht="13" hidden="1">
      <c r="A807" s="29"/>
      <c r="B807" s="29"/>
    </row>
    <row r="808" spans="1:2" ht="13" hidden="1">
      <c r="A808" s="29"/>
      <c r="B808" s="29"/>
    </row>
    <row r="809" spans="1:2" ht="13" hidden="1">
      <c r="A809" s="29"/>
      <c r="B809" s="29"/>
    </row>
    <row r="810" spans="1:2" ht="13" hidden="1">
      <c r="A810" s="29"/>
      <c r="B810" s="29"/>
    </row>
    <row r="811" spans="1:2" ht="13" hidden="1">
      <c r="A811" s="29"/>
      <c r="B811" s="29"/>
    </row>
    <row r="812" spans="1:2" ht="13" hidden="1">
      <c r="A812" s="29"/>
      <c r="B812" s="29"/>
    </row>
    <row r="813" spans="1:2" ht="13" hidden="1">
      <c r="A813" s="29"/>
      <c r="B813" s="29"/>
    </row>
    <row r="814" spans="1:2" ht="13" hidden="1">
      <c r="A814" s="29"/>
      <c r="B814" s="29"/>
    </row>
    <row r="815" spans="1:2" ht="13" hidden="1">
      <c r="A815" s="29"/>
      <c r="B815" s="29"/>
    </row>
    <row r="816" spans="1:2" ht="13" hidden="1">
      <c r="A816" s="29"/>
      <c r="B816" s="29"/>
    </row>
    <row r="817" spans="1:2" ht="13" hidden="1">
      <c r="A817" s="29"/>
      <c r="B817" s="29"/>
    </row>
    <row r="818" spans="1:2" ht="13" hidden="1">
      <c r="A818" s="29"/>
      <c r="B818" s="29"/>
    </row>
    <row r="819" spans="1:2" ht="13" hidden="1">
      <c r="A819" s="29"/>
      <c r="B819" s="29"/>
    </row>
    <row r="820" spans="1:2" ht="13" hidden="1">
      <c r="A820" s="29"/>
      <c r="B820" s="29"/>
    </row>
    <row r="821" spans="1:2" ht="13" hidden="1">
      <c r="A821" s="29"/>
      <c r="B821" s="29"/>
    </row>
    <row r="822" spans="1:2" ht="13" hidden="1">
      <c r="A822" s="29"/>
      <c r="B822" s="29"/>
    </row>
    <row r="823" spans="1:2" ht="13" hidden="1">
      <c r="A823" s="29"/>
      <c r="B823" s="29"/>
    </row>
    <row r="824" spans="1:2" ht="13" hidden="1"/>
    <row r="825" spans="1:2" ht="13" hidden="1"/>
    <row r="826" spans="1:2" ht="13" hidden="1"/>
    <row r="827" spans="1:2" ht="13" hidden="1"/>
    <row r="828" spans="1:2" ht="13" hidden="1"/>
    <row r="829" spans="1:2" ht="13" hidden="1"/>
    <row r="830" spans="1:2" ht="13" hidden="1"/>
    <row r="831" spans="1:2" ht="13" hidden="1"/>
  </sheetData>
  <mergeCells count="17">
    <mergeCell ref="B1:H1"/>
    <mergeCell ref="B2:H2"/>
    <mergeCell ref="B3:H3"/>
    <mergeCell ref="A4:C4"/>
    <mergeCell ref="A19:C19"/>
    <mergeCell ref="A23:C23"/>
    <mergeCell ref="A32:C32"/>
    <mergeCell ref="A135:C135"/>
    <mergeCell ref="A143:C143"/>
    <mergeCell ref="A151:C151"/>
    <mergeCell ref="A40:C40"/>
    <mergeCell ref="A62:C62"/>
    <mergeCell ref="A78:C78"/>
    <mergeCell ref="A102:C102"/>
    <mergeCell ref="A113:C113"/>
    <mergeCell ref="A119:C119"/>
    <mergeCell ref="A127:C127"/>
  </mergeCells>
  <conditionalFormatting sqref="C6:C158">
    <cfRule type="expression" dxfId="12" priority="1">
      <formula>$C6="ON-SITE"</formula>
    </cfRule>
    <cfRule type="expression" dxfId="11" priority="2">
      <formula>$C6="DELIVERY"</formula>
    </cfRule>
    <cfRule type="expression" dxfId="10" priority="3">
      <formula>$C6="INSTALL"</formula>
    </cfRule>
    <cfRule type="expression" dxfId="9" priority="4">
      <formula>$C6="SECURITY"</formula>
    </cfRule>
    <cfRule type="expression" dxfId="8" priority="5">
      <formula>$C6="COLLECTION"</formula>
    </cfRule>
    <cfRule type="expression" dxfId="7" priority="6">
      <formula>$C6="BUMP OUT"</formula>
    </cfRule>
    <cfRule type="expression" dxfId="6" priority="7">
      <formula>$C6="SHOW TIME"</formula>
    </cfRule>
  </conditionalFormatting>
  <printOptions horizontalCentered="1" gridLines="1"/>
  <pageMargins left="0.7" right="0.7" top="0.75" bottom="0.75" header="0" footer="0"/>
  <pageSetup paperSize="8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Criteria!$A$20:$A$36</xm:f>
          </x14:formula1>
          <xm:sqref>F25:F26 F28:F31 F34:F39 F42:F44 F46:F61 F64:F65 F67:F77 F80:F81 F85:F101 F104:F112 F115:F118 F121:F126 F129:F134 F137:F142 F145:F150 F153:F158 F21:F22 F6:F9 F13:F18</xm:sqref>
        </x14:dataValidation>
        <x14:dataValidation type="list" allowBlank="1" xr:uid="{00000000-0002-0000-0300-000001000000}">
          <x14:formula1>
            <xm:f>Criteria!$A$1:$A$7</xm:f>
          </x14:formula1>
          <xm:sqref>G25:G26 G28:G31 G34:G39 G42:G44 G46:G61 G64:G65 G67:G77 G80:G81 G85:G101 G104:G112 G115:G118 G121:G126 G129:G134 G137:G142 G145:G150 G153:G158 G21:G22 G6:G9 G13:G18</xm:sqref>
        </x14:dataValidation>
        <x14:dataValidation type="list" allowBlank="1" xr:uid="{00000000-0002-0000-0300-000003000000}">
          <x14:formula1>
            <xm:f>Criteria!$A$9:$A$18</xm:f>
          </x14:formula1>
          <xm:sqref>H10:H12 M10:M12 R10:R12 W10:W12 M24 R24 W24 H27 M38 R38 W38 C25:C31 C34:C39 H45 M53 R53 W53 C42:C61 H66 M74 R74 W74 C64:C77 H82:H84 M90:M92 R90:R92 W90:W92 C80:C101 C153:C158 C115:C118 C121:C126 C129:C134 C137:C142 C145:C150 C104 C106:C112 C21:C22 C6:C18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1"/>
  <sheetViews>
    <sheetView workbookViewId="0">
      <selection activeCell="AD2" sqref="AD2"/>
    </sheetView>
  </sheetViews>
  <sheetFormatPr baseColWidth="10" defaultColWidth="12.6640625" defaultRowHeight="15.75" customHeight="1"/>
  <cols>
    <col min="1" max="2" width="18.83203125" customWidth="1"/>
    <col min="3" max="4" width="37.1640625" customWidth="1"/>
    <col min="5" max="28" width="12.6640625" hidden="1"/>
  </cols>
  <sheetData>
    <row r="1" spans="1:4" ht="41.25" customHeight="1" thickBot="1">
      <c r="A1" s="503" t="s">
        <v>62</v>
      </c>
      <c r="B1" s="504"/>
      <c r="C1" s="504"/>
      <c r="D1" s="505"/>
    </row>
    <row r="2" spans="1:4" ht="16.5" customHeight="1">
      <c r="A2" s="506">
        <v>44927</v>
      </c>
      <c r="B2" s="507"/>
      <c r="C2" s="508" t="s">
        <v>63</v>
      </c>
      <c r="D2" s="508" t="s">
        <v>32</v>
      </c>
    </row>
    <row r="3" spans="1:4" ht="13">
      <c r="A3" s="332" t="s">
        <v>38</v>
      </c>
      <c r="B3" s="332" t="s">
        <v>64</v>
      </c>
      <c r="C3" s="509"/>
      <c r="D3" s="509"/>
    </row>
    <row r="4" spans="1:4" ht="13">
      <c r="A4" s="11"/>
      <c r="B4" s="11"/>
      <c r="C4" s="11"/>
      <c r="D4" s="11"/>
    </row>
    <row r="5" spans="1:4" ht="13">
      <c r="A5" s="11"/>
      <c r="B5" s="11"/>
      <c r="C5" s="11"/>
      <c r="D5" s="11"/>
    </row>
    <row r="6" spans="1:4" ht="13">
      <c r="A6" s="11"/>
      <c r="B6" s="11"/>
      <c r="C6" s="11"/>
      <c r="D6" s="11"/>
    </row>
    <row r="7" spans="1:4" ht="13">
      <c r="A7" s="11"/>
      <c r="B7" s="11"/>
      <c r="C7" s="11"/>
      <c r="D7" s="11"/>
    </row>
    <row r="8" spans="1:4" ht="13">
      <c r="A8" s="11"/>
      <c r="B8" s="11"/>
      <c r="C8" s="11"/>
      <c r="D8" s="11"/>
    </row>
    <row r="9" spans="1:4" ht="15" customHeight="1">
      <c r="A9" s="11"/>
      <c r="B9" s="11"/>
      <c r="C9" s="11"/>
      <c r="D9" s="11"/>
    </row>
    <row r="10" spans="1:4" ht="16.5" customHeight="1">
      <c r="A10" s="500">
        <f>A2+1</f>
        <v>44928</v>
      </c>
      <c r="B10" s="429"/>
      <c r="C10" s="501" t="s">
        <v>63</v>
      </c>
      <c r="D10" s="501" t="s">
        <v>32</v>
      </c>
    </row>
    <row r="11" spans="1:4" ht="13">
      <c r="A11" s="332" t="s">
        <v>38</v>
      </c>
      <c r="B11" s="332" t="s">
        <v>64</v>
      </c>
      <c r="C11" s="502"/>
      <c r="D11" s="502"/>
    </row>
    <row r="12" spans="1:4" ht="13">
      <c r="A12" s="11"/>
      <c r="B12" s="11"/>
      <c r="C12" s="11"/>
      <c r="D12" s="11"/>
    </row>
    <row r="13" spans="1:4" ht="13">
      <c r="A13" s="11"/>
      <c r="B13" s="11"/>
      <c r="C13" s="11"/>
      <c r="D13" s="11"/>
    </row>
    <row r="14" spans="1:4" ht="13">
      <c r="A14" s="11"/>
      <c r="B14" s="11"/>
      <c r="C14" s="11"/>
      <c r="D14" s="11"/>
    </row>
    <row r="15" spans="1:4" ht="13">
      <c r="A15" s="11"/>
      <c r="B15" s="11"/>
      <c r="C15" s="11"/>
      <c r="D15" s="11"/>
    </row>
    <row r="16" spans="1:4" ht="13">
      <c r="A16" s="11"/>
      <c r="B16" s="11"/>
      <c r="C16" s="11"/>
      <c r="D16" s="11"/>
    </row>
    <row r="17" spans="1:4" ht="13">
      <c r="A17" s="11"/>
      <c r="B17" s="11"/>
      <c r="C17" s="11"/>
      <c r="D17" s="11"/>
    </row>
    <row r="18" spans="1:4" ht="13">
      <c r="A18" s="500">
        <f>A10+1</f>
        <v>44929</v>
      </c>
      <c r="B18" s="429"/>
      <c r="C18" s="501" t="s">
        <v>63</v>
      </c>
      <c r="D18" s="501" t="s">
        <v>32</v>
      </c>
    </row>
    <row r="19" spans="1:4" ht="13">
      <c r="A19" s="332" t="s">
        <v>38</v>
      </c>
      <c r="B19" s="332" t="s">
        <v>64</v>
      </c>
      <c r="C19" s="502"/>
      <c r="D19" s="502"/>
    </row>
    <row r="20" spans="1:4" ht="13">
      <c r="A20" s="11"/>
      <c r="B20" s="11"/>
      <c r="C20" s="11"/>
      <c r="D20" s="11"/>
    </row>
    <row r="21" spans="1:4" ht="13">
      <c r="A21" s="11"/>
      <c r="B21" s="11"/>
      <c r="C21" s="11"/>
      <c r="D21" s="11"/>
    </row>
    <row r="22" spans="1:4" ht="13">
      <c r="A22" s="11"/>
      <c r="B22" s="11"/>
      <c r="C22" s="11"/>
      <c r="D22" s="11"/>
    </row>
    <row r="23" spans="1:4" ht="13">
      <c r="A23" s="11"/>
      <c r="B23" s="11"/>
      <c r="C23" s="11"/>
      <c r="D23" s="11"/>
    </row>
    <row r="24" spans="1:4" ht="13">
      <c r="A24" s="11"/>
      <c r="B24" s="11"/>
      <c r="C24" s="11"/>
      <c r="D24" s="11"/>
    </row>
    <row r="25" spans="1:4" ht="13">
      <c r="A25" s="11"/>
      <c r="B25" s="11"/>
      <c r="C25" s="11"/>
      <c r="D25" s="11"/>
    </row>
    <row r="26" spans="1:4" ht="13">
      <c r="A26" s="500">
        <f>A18+1</f>
        <v>44930</v>
      </c>
      <c r="B26" s="429"/>
      <c r="C26" s="501" t="s">
        <v>63</v>
      </c>
      <c r="D26" s="501" t="s">
        <v>32</v>
      </c>
    </row>
    <row r="27" spans="1:4" ht="13">
      <c r="A27" s="332" t="s">
        <v>38</v>
      </c>
      <c r="B27" s="332" t="s">
        <v>64</v>
      </c>
      <c r="C27" s="502"/>
      <c r="D27" s="502"/>
    </row>
    <row r="28" spans="1:4" ht="13">
      <c r="A28" s="11"/>
      <c r="B28" s="11"/>
      <c r="C28" s="11"/>
      <c r="D28" s="11"/>
    </row>
    <row r="29" spans="1:4" ht="13">
      <c r="A29" s="11"/>
      <c r="B29" s="11"/>
      <c r="C29" s="11"/>
      <c r="D29" s="11"/>
    </row>
    <row r="30" spans="1:4" ht="13">
      <c r="A30" s="11"/>
      <c r="B30" s="11"/>
      <c r="C30" s="11"/>
      <c r="D30" s="11"/>
    </row>
    <row r="31" spans="1:4" ht="13">
      <c r="A31" s="11"/>
      <c r="B31" s="11"/>
      <c r="C31" s="11"/>
      <c r="D31" s="11"/>
    </row>
    <row r="32" spans="1:4" ht="13">
      <c r="A32" s="11"/>
      <c r="B32" s="11"/>
      <c r="C32" s="11"/>
      <c r="D32" s="11"/>
    </row>
    <row r="33" spans="1:4" ht="13">
      <c r="A33" s="11"/>
      <c r="B33" s="11"/>
      <c r="C33" s="11"/>
      <c r="D33" s="11"/>
    </row>
    <row r="34" spans="1:4" ht="13">
      <c r="A34" s="500">
        <f>A26+1</f>
        <v>44931</v>
      </c>
      <c r="B34" s="429"/>
      <c r="C34" s="501" t="s">
        <v>63</v>
      </c>
      <c r="D34" s="501" t="s">
        <v>32</v>
      </c>
    </row>
    <row r="35" spans="1:4" ht="13">
      <c r="A35" s="30" t="s">
        <v>38</v>
      </c>
      <c r="B35" s="30" t="s">
        <v>64</v>
      </c>
      <c r="C35" s="502"/>
      <c r="D35" s="502"/>
    </row>
    <row r="36" spans="1:4" ht="13">
      <c r="A36" s="11"/>
      <c r="B36" s="11"/>
      <c r="C36" s="11"/>
      <c r="D36" s="11"/>
    </row>
    <row r="37" spans="1:4" ht="13">
      <c r="A37" s="11"/>
      <c r="B37" s="11"/>
      <c r="C37" s="11"/>
      <c r="D37" s="11"/>
    </row>
    <row r="38" spans="1:4" ht="13">
      <c r="A38" s="11"/>
      <c r="B38" s="11"/>
      <c r="C38" s="11"/>
      <c r="D38" s="11"/>
    </row>
    <row r="39" spans="1:4" ht="13">
      <c r="A39" s="11"/>
      <c r="B39" s="11"/>
      <c r="C39" s="11"/>
      <c r="D39" s="11"/>
    </row>
    <row r="40" spans="1:4" ht="13">
      <c r="A40" s="11"/>
      <c r="B40" s="11"/>
      <c r="C40" s="11"/>
      <c r="D40" s="11"/>
    </row>
    <row r="41" spans="1:4" ht="13">
      <c r="A41" s="11"/>
      <c r="B41" s="11"/>
      <c r="C41" s="11"/>
      <c r="D41" s="11"/>
    </row>
    <row r="42" spans="1:4" ht="13">
      <c r="A42" s="500">
        <f>A34+1</f>
        <v>44932</v>
      </c>
      <c r="B42" s="429"/>
      <c r="C42" s="501" t="s">
        <v>63</v>
      </c>
      <c r="D42" s="501" t="s">
        <v>32</v>
      </c>
    </row>
    <row r="43" spans="1:4" ht="13">
      <c r="A43" s="332" t="s">
        <v>38</v>
      </c>
      <c r="B43" s="332" t="s">
        <v>64</v>
      </c>
      <c r="C43" s="502"/>
      <c r="D43" s="502"/>
    </row>
    <row r="44" spans="1:4" ht="13">
      <c r="A44" s="11"/>
      <c r="B44" s="11"/>
      <c r="C44" s="11"/>
      <c r="D44" s="11"/>
    </row>
    <row r="45" spans="1:4" ht="13">
      <c r="A45" s="11"/>
      <c r="B45" s="11"/>
      <c r="C45" s="11"/>
      <c r="D45" s="11"/>
    </row>
    <row r="46" spans="1:4" ht="13">
      <c r="A46" s="11"/>
      <c r="B46" s="11"/>
      <c r="C46" s="11"/>
      <c r="D46" s="11"/>
    </row>
    <row r="47" spans="1:4" ht="13">
      <c r="A47" s="11"/>
      <c r="B47" s="11"/>
      <c r="C47" s="11"/>
      <c r="D47" s="11"/>
    </row>
    <row r="48" spans="1:4" ht="13">
      <c r="A48" s="11"/>
      <c r="B48" s="11"/>
      <c r="C48" s="11"/>
      <c r="D48" s="11"/>
    </row>
    <row r="49" spans="1:4" ht="13">
      <c r="A49" s="11"/>
      <c r="B49" s="11"/>
      <c r="C49" s="11"/>
      <c r="D49" s="11"/>
    </row>
    <row r="50" spans="1:4" ht="13" hidden="1"/>
    <row r="51" spans="1:4" ht="13" hidden="1"/>
    <row r="52" spans="1:4" ht="13" hidden="1"/>
    <row r="53" spans="1:4" ht="13" hidden="1"/>
    <row r="54" spans="1:4" ht="13" hidden="1"/>
    <row r="55" spans="1:4" ht="13" hidden="1"/>
    <row r="56" spans="1:4" ht="13" hidden="1"/>
    <row r="57" spans="1:4" ht="13" hidden="1"/>
    <row r="58" spans="1:4" ht="13" hidden="1"/>
    <row r="59" spans="1:4" ht="13" hidden="1"/>
    <row r="60" spans="1:4" ht="13" hidden="1"/>
    <row r="61" spans="1:4" ht="13" hidden="1"/>
    <row r="62" spans="1:4" ht="13" hidden="1"/>
    <row r="63" spans="1:4" ht="13" hidden="1"/>
    <row r="64" spans="1:4" ht="13" hidden="1"/>
    <row r="65" ht="13" hidden="1"/>
    <row r="66" ht="13" hidden="1"/>
    <row r="67" ht="13" hidden="1"/>
    <row r="68" ht="13" hidden="1"/>
    <row r="69" ht="13" hidden="1"/>
    <row r="70" ht="13" hidden="1"/>
    <row r="71" ht="13" hidden="1"/>
    <row r="72" ht="13" hidden="1"/>
    <row r="73" ht="13" hidden="1"/>
    <row r="74" ht="13" hidden="1"/>
    <row r="75" ht="13" hidden="1"/>
    <row r="76" ht="13" hidden="1"/>
    <row r="77" ht="13" hidden="1"/>
    <row r="78" ht="13" hidden="1"/>
    <row r="79" ht="13" hidden="1"/>
    <row r="80" ht="13" hidden="1"/>
    <row r="81" ht="13" hidden="1"/>
    <row r="82" ht="13" hidden="1"/>
    <row r="83" ht="13" hidden="1"/>
    <row r="84" ht="13" hidden="1"/>
    <row r="85" ht="13" hidden="1"/>
    <row r="86" ht="13" hidden="1"/>
    <row r="87" ht="13" hidden="1"/>
    <row r="88" ht="13" hidden="1"/>
    <row r="89" ht="13" hidden="1"/>
    <row r="90" ht="13" hidden="1"/>
    <row r="91" ht="13" hidden="1"/>
    <row r="92" ht="13" hidden="1"/>
    <row r="93" ht="13" hidden="1"/>
    <row r="94" ht="13" hidden="1"/>
    <row r="95" ht="13" hidden="1"/>
    <row r="96" ht="13" hidden="1"/>
    <row r="97" ht="13" hidden="1"/>
    <row r="98" ht="13" hidden="1"/>
    <row r="99" ht="13" hidden="1"/>
    <row r="100" ht="13" hidden="1"/>
    <row r="101" ht="13" hidden="1"/>
    <row r="102" ht="13" hidden="1"/>
    <row r="103" ht="13" hidden="1"/>
    <row r="104" ht="13" hidden="1"/>
    <row r="105" ht="13" hidden="1"/>
    <row r="106" ht="13" hidden="1"/>
    <row r="107" ht="13" hidden="1"/>
    <row r="108" ht="13" hidden="1"/>
    <row r="109" ht="13" hidden="1"/>
    <row r="110" ht="13" hidden="1"/>
    <row r="111" ht="13" hidden="1"/>
    <row r="112" ht="13" hidden="1"/>
    <row r="113" ht="13" hidden="1"/>
    <row r="114" ht="13" hidden="1"/>
    <row r="115" ht="13" hidden="1"/>
    <row r="116" ht="13" hidden="1"/>
    <row r="117" ht="13" hidden="1"/>
    <row r="118" ht="13" hidden="1"/>
    <row r="119" ht="13" hidden="1"/>
    <row r="120" ht="13" hidden="1"/>
    <row r="121" ht="13" hidden="1"/>
    <row r="122" ht="13" hidden="1"/>
    <row r="123" ht="13" hidden="1"/>
    <row r="124" ht="13" hidden="1"/>
    <row r="125" ht="13" hidden="1"/>
    <row r="126" ht="13" hidden="1"/>
    <row r="127" ht="13" hidden="1"/>
    <row r="128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  <row r="999" ht="13" hidden="1"/>
    <row r="1000" ht="13" hidden="1"/>
    <row r="1001" ht="13" hidden="1"/>
  </sheetData>
  <mergeCells count="19">
    <mergeCell ref="A1:D1"/>
    <mergeCell ref="A2:B2"/>
    <mergeCell ref="C2:C3"/>
    <mergeCell ref="D2:D3"/>
    <mergeCell ref="A10:B10"/>
    <mergeCell ref="C10:C11"/>
    <mergeCell ref="D10:D11"/>
    <mergeCell ref="C34:C35"/>
    <mergeCell ref="D34:D35"/>
    <mergeCell ref="A42:B42"/>
    <mergeCell ref="C42:C43"/>
    <mergeCell ref="D42:D43"/>
    <mergeCell ref="A34:B34"/>
    <mergeCell ref="A18:B18"/>
    <mergeCell ref="C18:C19"/>
    <mergeCell ref="D18:D19"/>
    <mergeCell ref="A26:B26"/>
    <mergeCell ref="C26:C27"/>
    <mergeCell ref="D26:D27"/>
  </mergeCells>
  <pageMargins left="0.7" right="0.7" top="0.75" bottom="0.75" header="0.3" footer="0.3"/>
  <pageSetup paperSize="8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8"/>
  <sheetViews>
    <sheetView zoomScale="127" zoomScaleNormal="127" workbookViewId="0">
      <selection activeCell="F13" sqref="F13"/>
    </sheetView>
  </sheetViews>
  <sheetFormatPr baseColWidth="10" defaultColWidth="12.6640625" defaultRowHeight="15.75" customHeight="1"/>
  <cols>
    <col min="3" max="3" width="36.6640625" customWidth="1"/>
    <col min="4" max="4" width="20.1640625" customWidth="1"/>
    <col min="6" max="6" width="14.1640625" customWidth="1"/>
    <col min="8" max="8" width="29.6640625" customWidth="1"/>
    <col min="9" max="26" width="12.6640625" hidden="1"/>
  </cols>
  <sheetData>
    <row r="1" spans="1:26" ht="39.75" customHeight="1">
      <c r="A1" s="510" t="s">
        <v>65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</row>
    <row r="2" spans="1:26" ht="18">
      <c r="A2" s="512" t="s">
        <v>66</v>
      </c>
      <c r="B2" s="513"/>
      <c r="C2" s="513"/>
      <c r="D2" s="513"/>
      <c r="E2" s="513"/>
      <c r="F2" s="513"/>
      <c r="G2" s="513"/>
      <c r="H2" s="513"/>
    </row>
    <row r="3" spans="1:26" ht="13">
      <c r="A3" s="333" t="s">
        <v>67</v>
      </c>
      <c r="B3" s="333" t="s">
        <v>68</v>
      </c>
      <c r="C3" s="333" t="s">
        <v>69</v>
      </c>
      <c r="D3" s="333" t="s">
        <v>70</v>
      </c>
      <c r="E3" s="333" t="s">
        <v>71</v>
      </c>
      <c r="F3" s="333" t="s">
        <v>72</v>
      </c>
      <c r="G3" s="333" t="s">
        <v>73</v>
      </c>
      <c r="H3" s="333" t="s">
        <v>74</v>
      </c>
    </row>
    <row r="4" spans="1:26" ht="13">
      <c r="A4" s="31">
        <v>44963</v>
      </c>
      <c r="B4" s="11"/>
      <c r="C4" s="11"/>
      <c r="D4" s="11"/>
      <c r="E4" s="11"/>
      <c r="F4" s="11"/>
      <c r="G4" s="11"/>
      <c r="H4" s="11"/>
    </row>
    <row r="5" spans="1:26" ht="13">
      <c r="A5" s="11"/>
      <c r="B5" s="11"/>
      <c r="C5" s="11"/>
      <c r="D5" s="11"/>
      <c r="E5" s="11"/>
      <c r="F5" s="11"/>
      <c r="G5" s="11"/>
      <c r="H5" s="11"/>
    </row>
    <row r="6" spans="1:26" ht="13">
      <c r="A6" s="11"/>
      <c r="B6" s="11"/>
      <c r="C6" s="11"/>
      <c r="D6" s="11"/>
      <c r="E6" s="11"/>
      <c r="F6" s="11"/>
      <c r="G6" s="11"/>
      <c r="H6" s="11"/>
    </row>
    <row r="7" spans="1:26" ht="13">
      <c r="A7" s="11"/>
      <c r="B7" s="11"/>
      <c r="C7" s="11"/>
      <c r="D7" s="11"/>
      <c r="E7" s="11"/>
      <c r="F7" s="11"/>
      <c r="G7" s="11"/>
      <c r="H7" s="11"/>
    </row>
    <row r="8" spans="1:26" ht="13">
      <c r="A8" s="11"/>
      <c r="B8" s="11"/>
      <c r="C8" s="11"/>
      <c r="D8" s="11"/>
      <c r="E8" s="11"/>
      <c r="F8" s="11"/>
      <c r="G8" s="11"/>
      <c r="H8" s="11"/>
    </row>
    <row r="9" spans="1:26" ht="13">
      <c r="A9" s="11"/>
      <c r="B9" s="11"/>
      <c r="C9" s="11"/>
      <c r="D9" s="11"/>
      <c r="E9" s="11"/>
      <c r="F9" s="11"/>
      <c r="G9" s="11"/>
      <c r="H9" s="11"/>
    </row>
    <row r="10" spans="1:26" ht="18">
      <c r="A10" s="512" t="s">
        <v>75</v>
      </c>
      <c r="B10" s="513"/>
      <c r="C10" s="513"/>
      <c r="D10" s="513"/>
      <c r="E10" s="513"/>
      <c r="F10" s="513"/>
      <c r="G10" s="513"/>
      <c r="H10" s="513"/>
    </row>
    <row r="11" spans="1:26" ht="13">
      <c r="A11" s="333" t="s">
        <v>67</v>
      </c>
      <c r="B11" s="333" t="s">
        <v>68</v>
      </c>
      <c r="C11" s="333" t="s">
        <v>69</v>
      </c>
      <c r="D11" s="333" t="s">
        <v>70</v>
      </c>
      <c r="E11" s="333" t="s">
        <v>71</v>
      </c>
      <c r="F11" s="333" t="s">
        <v>72</v>
      </c>
      <c r="G11" s="333" t="s">
        <v>73</v>
      </c>
      <c r="H11" s="333" t="s">
        <v>74</v>
      </c>
    </row>
    <row r="12" spans="1:26" ht="13">
      <c r="A12" s="11"/>
      <c r="B12" s="11"/>
      <c r="C12" s="11"/>
      <c r="D12" s="11"/>
      <c r="E12" s="11"/>
      <c r="F12" s="11"/>
      <c r="G12" s="11"/>
      <c r="H12" s="11"/>
    </row>
    <row r="13" spans="1:26" ht="13">
      <c r="A13" s="11"/>
      <c r="B13" s="11"/>
      <c r="C13" s="11"/>
      <c r="D13" s="11"/>
      <c r="E13" s="11"/>
      <c r="F13" s="11"/>
      <c r="G13" s="11"/>
      <c r="H13" s="11"/>
    </row>
    <row r="14" spans="1:26" ht="13">
      <c r="A14" s="11"/>
      <c r="B14" s="11"/>
      <c r="C14" s="11"/>
      <c r="D14" s="11"/>
      <c r="E14" s="11"/>
      <c r="F14" s="11"/>
      <c r="G14" s="11"/>
      <c r="H14" s="11"/>
    </row>
    <row r="15" spans="1:26" ht="13">
      <c r="A15" s="11"/>
      <c r="B15" s="11"/>
      <c r="C15" s="11"/>
      <c r="D15" s="11"/>
      <c r="E15" s="11"/>
      <c r="F15" s="11"/>
      <c r="G15" s="11"/>
      <c r="H15" s="11"/>
    </row>
    <row r="16" spans="1:26" ht="13">
      <c r="A16" s="11"/>
      <c r="B16" s="11"/>
      <c r="C16" s="11"/>
      <c r="D16" s="11"/>
      <c r="E16" s="11"/>
      <c r="F16" s="11"/>
      <c r="G16" s="11"/>
      <c r="H16" s="11"/>
    </row>
    <row r="17" spans="1:8" ht="13">
      <c r="A17" s="11"/>
      <c r="B17" s="11"/>
      <c r="C17" s="11"/>
      <c r="D17" s="11"/>
      <c r="E17" s="11"/>
      <c r="F17" s="11"/>
      <c r="G17" s="11"/>
      <c r="H17" s="11"/>
    </row>
    <row r="18" spans="1:8" ht="13" hidden="1"/>
    <row r="19" spans="1:8" ht="13" hidden="1"/>
    <row r="20" spans="1:8" ht="13" hidden="1"/>
    <row r="21" spans="1:8" ht="13" hidden="1"/>
    <row r="22" spans="1:8" ht="13" hidden="1"/>
    <row r="23" spans="1:8" ht="13" hidden="1"/>
    <row r="24" spans="1:8" ht="13" hidden="1"/>
    <row r="25" spans="1:8" ht="13" hidden="1"/>
    <row r="26" spans="1:8" ht="13" hidden="1"/>
    <row r="27" spans="1:8" ht="13" hidden="1"/>
    <row r="28" spans="1:8" ht="13" hidden="1"/>
    <row r="29" spans="1:8" ht="13" hidden="1"/>
    <row r="30" spans="1:8" ht="13" hidden="1"/>
    <row r="31" spans="1:8" ht="13" hidden="1"/>
    <row r="32" spans="1:8" ht="13" hidden="1"/>
    <row r="33" ht="13" hidden="1"/>
    <row r="34" ht="13" hidden="1"/>
    <row r="35" ht="13" hidden="1"/>
    <row r="36" ht="13" hidden="1"/>
    <row r="37" ht="13" hidden="1"/>
    <row r="38" ht="13" hidden="1"/>
    <row r="39" ht="13" hidden="1"/>
    <row r="40" ht="13" hidden="1"/>
    <row r="41" ht="13" hidden="1"/>
    <row r="42" ht="13" hidden="1"/>
    <row r="43" ht="13" hidden="1"/>
    <row r="44" ht="13" hidden="1"/>
    <row r="45" ht="13" hidden="1"/>
    <row r="46" ht="13" hidden="1"/>
    <row r="47" ht="13" hidden="1"/>
    <row r="48" ht="13" hidden="1"/>
    <row r="49" ht="13" hidden="1"/>
    <row r="50" ht="13" hidden="1"/>
    <row r="51" ht="13" hidden="1"/>
    <row r="52" ht="13" hidden="1"/>
    <row r="53" ht="13" hidden="1"/>
    <row r="54" ht="13" hidden="1"/>
    <row r="55" ht="13" hidden="1"/>
    <row r="56" ht="13" hidden="1"/>
    <row r="57" ht="13" hidden="1"/>
    <row r="58" ht="13" hidden="1"/>
    <row r="59" ht="13" hidden="1"/>
    <row r="60" ht="13" hidden="1"/>
    <row r="61" ht="13" hidden="1"/>
    <row r="62" ht="13" hidden="1"/>
    <row r="63" ht="13" hidden="1"/>
    <row r="64" ht="13" hidden="1"/>
    <row r="65" ht="13" hidden="1"/>
    <row r="66" ht="13" hidden="1"/>
    <row r="67" ht="13" hidden="1"/>
    <row r="68" ht="13" hidden="1"/>
    <row r="69" ht="13" hidden="1"/>
    <row r="70" ht="13" hidden="1"/>
    <row r="71" ht="13" hidden="1"/>
    <row r="72" ht="13" hidden="1"/>
    <row r="73" ht="13" hidden="1"/>
    <row r="74" ht="13" hidden="1"/>
    <row r="75" ht="13" hidden="1"/>
    <row r="76" ht="13" hidden="1"/>
    <row r="77" ht="13" hidden="1"/>
    <row r="78" ht="13" hidden="1"/>
    <row r="79" ht="13" hidden="1"/>
    <row r="80" ht="13" hidden="1"/>
    <row r="81" ht="13" hidden="1"/>
    <row r="82" ht="13" hidden="1"/>
    <row r="83" ht="13" hidden="1"/>
    <row r="84" ht="13" hidden="1"/>
    <row r="85" ht="13" hidden="1"/>
    <row r="86" ht="13" hidden="1"/>
    <row r="87" ht="13" hidden="1"/>
    <row r="88" ht="13" hidden="1"/>
    <row r="89" ht="13" hidden="1"/>
    <row r="90" ht="13" hidden="1"/>
    <row r="91" ht="13" hidden="1"/>
    <row r="92" ht="13" hidden="1"/>
    <row r="93" ht="13" hidden="1"/>
    <row r="94" ht="13" hidden="1"/>
    <row r="95" ht="13" hidden="1"/>
    <row r="96" ht="13" hidden="1"/>
    <row r="97" ht="13" hidden="1"/>
    <row r="98" ht="13" hidden="1"/>
    <row r="99" ht="13" hidden="1"/>
    <row r="100" ht="13" hidden="1"/>
    <row r="101" ht="13" hidden="1"/>
    <row r="102" ht="13" hidden="1"/>
    <row r="103" ht="13" hidden="1"/>
    <row r="104" ht="13" hidden="1"/>
    <row r="105" ht="13" hidden="1"/>
    <row r="106" ht="13" hidden="1"/>
    <row r="107" ht="13" hidden="1"/>
    <row r="108" ht="13" hidden="1"/>
    <row r="109" ht="13" hidden="1"/>
    <row r="110" ht="13" hidden="1"/>
    <row r="111" ht="13" hidden="1"/>
    <row r="112" ht="13" hidden="1"/>
    <row r="113" ht="13" hidden="1"/>
    <row r="114" ht="13" hidden="1"/>
    <row r="115" ht="13" hidden="1"/>
    <row r="116" ht="13" hidden="1"/>
    <row r="117" ht="13" hidden="1"/>
    <row r="118" ht="13" hidden="1"/>
    <row r="119" ht="13" hidden="1"/>
    <row r="120" ht="13" hidden="1"/>
    <row r="121" ht="13" hidden="1"/>
    <row r="122" ht="13" hidden="1"/>
    <row r="123" ht="13" hidden="1"/>
    <row r="124" ht="13" hidden="1"/>
    <row r="125" ht="13" hidden="1"/>
    <row r="126" ht="13" hidden="1"/>
    <row r="127" ht="13" hidden="1"/>
    <row r="128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</sheetData>
  <mergeCells count="3">
    <mergeCell ref="A1:Z1"/>
    <mergeCell ref="A2:H2"/>
    <mergeCell ref="A10:H10"/>
  </mergeCells>
  <conditionalFormatting sqref="E4:E9 E12:E17">
    <cfRule type="notContainsBlanks" dxfId="5" priority="1">
      <formula>LEN(TRIM(E4))&gt;0</formula>
    </cfRule>
  </conditionalFormatting>
  <pageMargins left="0.7" right="0.7" top="0.75" bottom="0.75" header="0.3" footer="0.3"/>
  <pageSetup paperSize="8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Criteria!$A$41:$A$43</xm:f>
          </x14:formula1>
          <xm:sqref>E4:E9 E12:E17</xm:sqref>
        </x14:dataValidation>
        <x14:dataValidation type="list" allowBlank="1" showErrorMessage="1" xr:uid="{00000000-0002-0000-0500-000001000000}">
          <x14:formula1>
            <xm:f>Criteria!$A$46:$A$49</xm:f>
          </x14:formula1>
          <xm:sqref>F4:F9 F12:F17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11"/>
  <sheetViews>
    <sheetView zoomScale="148" zoomScaleNormal="148" workbookViewId="0">
      <selection activeCell="I1022" sqref="I1022"/>
    </sheetView>
  </sheetViews>
  <sheetFormatPr baseColWidth="10" defaultColWidth="12.6640625" defaultRowHeight="15.75" customHeight="1"/>
  <cols>
    <col min="2" max="2" width="17.6640625" customWidth="1"/>
    <col min="3" max="3" width="16.33203125" customWidth="1"/>
    <col min="4" max="5" width="8" customWidth="1"/>
    <col min="6" max="8" width="10.33203125" customWidth="1"/>
    <col min="9" max="10" width="40.83203125" customWidth="1"/>
    <col min="11" max="11" width="14.6640625" customWidth="1"/>
    <col min="12" max="12" width="10.83203125" customWidth="1"/>
    <col min="13" max="13" width="18.6640625" bestFit="1" customWidth="1"/>
    <col min="14" max="28" width="12.6640625" hidden="1"/>
    <col min="29" max="29" width="3.1640625" customWidth="1"/>
  </cols>
  <sheetData>
    <row r="1" spans="1:14" ht="28.5" customHeight="1">
      <c r="A1" s="519" t="s">
        <v>339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32"/>
    </row>
    <row r="2" spans="1:14" ht="16">
      <c r="A2" s="518" t="s">
        <v>76</v>
      </c>
      <c r="B2" s="515"/>
      <c r="C2" s="514" t="s">
        <v>77</v>
      </c>
      <c r="D2" s="514" t="s">
        <v>78</v>
      </c>
      <c r="E2" s="515"/>
      <c r="F2" s="514" t="s">
        <v>79</v>
      </c>
      <c r="G2" s="514" t="s">
        <v>80</v>
      </c>
      <c r="H2" s="514" t="s">
        <v>81</v>
      </c>
      <c r="I2" s="514" t="s">
        <v>82</v>
      </c>
      <c r="J2" s="514" t="s">
        <v>32</v>
      </c>
      <c r="K2" s="514" t="s">
        <v>83</v>
      </c>
      <c r="L2" s="514" t="s">
        <v>84</v>
      </c>
      <c r="M2" s="514" t="s">
        <v>85</v>
      </c>
      <c r="N2" s="32"/>
    </row>
    <row r="3" spans="1:14" ht="13">
      <c r="A3" s="151" t="s">
        <v>15</v>
      </c>
      <c r="B3" s="151" t="s">
        <v>40</v>
      </c>
      <c r="C3" s="515"/>
      <c r="D3" s="151" t="s">
        <v>86</v>
      </c>
      <c r="E3" s="151" t="s">
        <v>87</v>
      </c>
      <c r="F3" s="515"/>
      <c r="G3" s="515"/>
      <c r="H3" s="515"/>
      <c r="I3" s="515"/>
      <c r="J3" s="515"/>
      <c r="K3" s="515"/>
      <c r="L3" s="515"/>
      <c r="M3" s="515"/>
      <c r="N3" s="32"/>
    </row>
    <row r="4" spans="1:14" ht="13">
      <c r="A4" s="11" t="s">
        <v>46</v>
      </c>
      <c r="B4" s="11" t="s">
        <v>141</v>
      </c>
      <c r="C4" s="11" t="s">
        <v>542</v>
      </c>
      <c r="D4" s="11" t="s">
        <v>543</v>
      </c>
      <c r="E4" s="11" t="s">
        <v>543</v>
      </c>
      <c r="F4" s="152" t="b">
        <v>0</v>
      </c>
      <c r="G4" s="152" t="b">
        <v>1</v>
      </c>
      <c r="H4" s="152" t="b">
        <v>1</v>
      </c>
      <c r="I4" s="11" t="s">
        <v>541</v>
      </c>
      <c r="J4" s="11" t="s">
        <v>540</v>
      </c>
      <c r="K4" s="152" t="b">
        <v>0</v>
      </c>
      <c r="L4" s="11"/>
      <c r="M4" s="152" t="b">
        <v>0</v>
      </c>
    </row>
    <row r="5" spans="1:14" ht="13">
      <c r="A5" s="11" t="s">
        <v>46</v>
      </c>
      <c r="B5" s="11" t="s">
        <v>142</v>
      </c>
      <c r="C5" s="11" t="s">
        <v>544</v>
      </c>
      <c r="D5" s="11" t="s">
        <v>545</v>
      </c>
      <c r="E5" s="11" t="s">
        <v>545</v>
      </c>
      <c r="F5" s="152" t="b">
        <v>0</v>
      </c>
      <c r="G5" s="152" t="b">
        <v>1</v>
      </c>
      <c r="H5" s="152" t="b">
        <v>1</v>
      </c>
      <c r="I5" s="11" t="s">
        <v>541</v>
      </c>
      <c r="J5" s="11"/>
      <c r="K5" s="152" t="b">
        <v>0</v>
      </c>
      <c r="L5" s="11"/>
      <c r="M5" s="152" t="b">
        <v>0</v>
      </c>
    </row>
    <row r="6" spans="1:14" ht="13">
      <c r="A6" s="11" t="s">
        <v>46</v>
      </c>
      <c r="B6" s="11" t="s">
        <v>142</v>
      </c>
      <c r="C6" s="11" t="s">
        <v>546</v>
      </c>
      <c r="D6" s="11" t="s">
        <v>547</v>
      </c>
      <c r="E6" s="11" t="s">
        <v>543</v>
      </c>
      <c r="F6" s="152" t="b">
        <v>0</v>
      </c>
      <c r="G6" s="152" t="b">
        <v>1</v>
      </c>
      <c r="H6" s="152" t="b">
        <v>1</v>
      </c>
      <c r="I6" s="11" t="s">
        <v>541</v>
      </c>
      <c r="J6" s="11"/>
      <c r="K6" s="152" t="b">
        <v>0</v>
      </c>
      <c r="L6" s="11"/>
      <c r="M6" s="152" t="b">
        <v>0</v>
      </c>
    </row>
    <row r="7" spans="1:14" ht="13">
      <c r="A7" s="11"/>
      <c r="B7" s="11"/>
      <c r="C7" s="11"/>
      <c r="D7" s="11"/>
      <c r="E7" s="11"/>
      <c r="F7" s="152" t="b">
        <v>0</v>
      </c>
      <c r="G7" s="152" t="b">
        <v>0</v>
      </c>
      <c r="H7" s="152" t="b">
        <v>0</v>
      </c>
      <c r="I7" s="11"/>
      <c r="J7" s="11"/>
      <c r="K7" s="152" t="b">
        <v>0</v>
      </c>
      <c r="L7" s="11"/>
      <c r="M7" s="152" t="b">
        <v>0</v>
      </c>
    </row>
    <row r="8" spans="1:14" ht="13">
      <c r="A8" s="11"/>
      <c r="B8" s="11"/>
      <c r="C8" s="11"/>
      <c r="D8" s="11"/>
      <c r="E8" s="11"/>
      <c r="F8" s="152" t="b">
        <v>0</v>
      </c>
      <c r="G8" s="152" t="b">
        <v>0</v>
      </c>
      <c r="H8" s="152" t="b">
        <v>0</v>
      </c>
      <c r="I8" s="11"/>
      <c r="J8" s="11"/>
      <c r="K8" s="152" t="b">
        <v>0</v>
      </c>
      <c r="L8" s="11"/>
      <c r="M8" s="152" t="b">
        <v>0</v>
      </c>
    </row>
    <row r="9" spans="1:14" ht="13">
      <c r="A9" s="11"/>
      <c r="B9" s="11"/>
      <c r="C9" s="11"/>
      <c r="D9" s="11"/>
      <c r="E9" s="11"/>
      <c r="F9" s="152" t="b">
        <v>0</v>
      </c>
      <c r="G9" s="152" t="b">
        <v>0</v>
      </c>
      <c r="H9" s="152" t="b">
        <v>0</v>
      </c>
      <c r="I9" s="11"/>
      <c r="J9" s="11"/>
      <c r="K9" s="152" t="b">
        <v>0</v>
      </c>
      <c r="L9" s="11"/>
      <c r="M9" s="152" t="b">
        <v>0</v>
      </c>
    </row>
    <row r="10" spans="1:14" ht="16">
      <c r="A10" s="518" t="s">
        <v>88</v>
      </c>
      <c r="B10" s="515"/>
      <c r="C10" s="514" t="s">
        <v>89</v>
      </c>
      <c r="D10" s="514" t="s">
        <v>78</v>
      </c>
      <c r="E10" s="515"/>
      <c r="F10" s="514" t="s">
        <v>79</v>
      </c>
      <c r="G10" s="514" t="s">
        <v>80</v>
      </c>
      <c r="H10" s="514" t="s">
        <v>32</v>
      </c>
      <c r="I10" s="515"/>
      <c r="J10" s="515"/>
      <c r="K10" s="514" t="s">
        <v>83</v>
      </c>
      <c r="L10" s="514" t="s">
        <v>84</v>
      </c>
      <c r="M10" s="514" t="s">
        <v>85</v>
      </c>
      <c r="N10" s="32"/>
    </row>
    <row r="11" spans="1:14" ht="13">
      <c r="A11" s="151" t="s">
        <v>15</v>
      </c>
      <c r="B11" s="151" t="s">
        <v>40</v>
      </c>
      <c r="C11" s="515"/>
      <c r="D11" s="151" t="s">
        <v>86</v>
      </c>
      <c r="E11" s="151" t="s">
        <v>87</v>
      </c>
      <c r="F11" s="515"/>
      <c r="G11" s="515"/>
      <c r="H11" s="515"/>
      <c r="I11" s="515"/>
      <c r="J11" s="515"/>
      <c r="K11" s="515"/>
      <c r="L11" s="515"/>
      <c r="M11" s="515"/>
      <c r="N11" s="32"/>
    </row>
    <row r="12" spans="1:14" ht="13">
      <c r="A12" s="11"/>
      <c r="B12" s="11"/>
      <c r="C12" s="11"/>
      <c r="D12" s="11"/>
      <c r="E12" s="11"/>
      <c r="F12" s="152" t="b">
        <v>0</v>
      </c>
      <c r="G12" s="152" t="b">
        <v>0</v>
      </c>
      <c r="H12" s="516"/>
      <c r="I12" s="517"/>
      <c r="J12" s="429"/>
      <c r="K12" s="152" t="b">
        <v>0</v>
      </c>
      <c r="L12" s="11"/>
      <c r="M12" s="152" t="b">
        <v>0</v>
      </c>
    </row>
    <row r="13" spans="1:14" ht="13">
      <c r="A13" s="11"/>
      <c r="B13" s="11"/>
      <c r="C13" s="11"/>
      <c r="D13" s="11"/>
      <c r="E13" s="11"/>
      <c r="F13" s="152" t="b">
        <v>0</v>
      </c>
      <c r="G13" s="152" t="b">
        <v>0</v>
      </c>
      <c r="H13" s="516"/>
      <c r="I13" s="517"/>
      <c r="J13" s="429"/>
      <c r="K13" s="152" t="b">
        <v>0</v>
      </c>
      <c r="L13" s="11"/>
      <c r="M13" s="152" t="b">
        <v>0</v>
      </c>
    </row>
    <row r="14" spans="1:14" ht="13">
      <c r="A14" s="11"/>
      <c r="B14" s="11"/>
      <c r="C14" s="11"/>
      <c r="D14" s="11"/>
      <c r="E14" s="11"/>
      <c r="F14" s="152" t="b">
        <v>0</v>
      </c>
      <c r="G14" s="152" t="b">
        <v>0</v>
      </c>
      <c r="H14" s="516"/>
      <c r="I14" s="517"/>
      <c r="J14" s="429"/>
      <c r="K14" s="152" t="b">
        <v>0</v>
      </c>
      <c r="L14" s="11"/>
      <c r="M14" s="152" t="b">
        <v>0</v>
      </c>
    </row>
    <row r="15" spans="1:14" ht="13">
      <c r="A15" s="11"/>
      <c r="B15" s="11"/>
      <c r="C15" s="11"/>
      <c r="D15" s="11"/>
      <c r="E15" s="11"/>
      <c r="F15" s="152" t="b">
        <v>0</v>
      </c>
      <c r="G15" s="152" t="b">
        <v>0</v>
      </c>
      <c r="H15" s="516"/>
      <c r="I15" s="517"/>
      <c r="J15" s="429"/>
      <c r="K15" s="152" t="b">
        <v>0</v>
      </c>
      <c r="L15" s="11"/>
      <c r="M15" s="152" t="b">
        <v>0</v>
      </c>
    </row>
    <row r="16" spans="1:14" ht="13">
      <c r="A16" s="11"/>
      <c r="B16" s="11"/>
      <c r="C16" s="11"/>
      <c r="D16" s="11"/>
      <c r="E16" s="11"/>
      <c r="F16" s="152" t="b">
        <v>0</v>
      </c>
      <c r="G16" s="152" t="b">
        <v>0</v>
      </c>
      <c r="H16" s="516"/>
      <c r="I16" s="517"/>
      <c r="J16" s="429"/>
      <c r="K16" s="152" t="b">
        <v>0</v>
      </c>
      <c r="L16" s="11"/>
      <c r="M16" s="152" t="b">
        <v>0</v>
      </c>
    </row>
    <row r="17" spans="1:13" ht="13">
      <c r="A17" s="11"/>
      <c r="B17" s="11"/>
      <c r="C17" s="11"/>
      <c r="D17" s="11"/>
      <c r="E17" s="11"/>
      <c r="F17" s="152" t="b">
        <v>0</v>
      </c>
      <c r="G17" s="152" t="b">
        <v>0</v>
      </c>
      <c r="H17" s="516"/>
      <c r="I17" s="517"/>
      <c r="J17" s="429"/>
      <c r="K17" s="152" t="b">
        <v>0</v>
      </c>
      <c r="L17" s="11"/>
      <c r="M17" s="152" t="b">
        <v>0</v>
      </c>
    </row>
    <row r="18" spans="1:13" ht="13" hidden="1"/>
    <row r="19" spans="1:13" ht="13" hidden="1"/>
    <row r="20" spans="1:13" ht="13" hidden="1"/>
    <row r="21" spans="1:13" ht="13" hidden="1"/>
    <row r="22" spans="1:13" ht="13" hidden="1"/>
    <row r="23" spans="1:13" ht="13" hidden="1"/>
    <row r="24" spans="1:13" ht="13" hidden="1"/>
    <row r="25" spans="1:13" ht="13" hidden="1"/>
    <row r="26" spans="1:13" ht="13" hidden="1"/>
    <row r="27" spans="1:13" ht="13" hidden="1"/>
    <row r="28" spans="1:13" ht="13" hidden="1"/>
    <row r="29" spans="1:13" ht="13" hidden="1"/>
    <row r="30" spans="1:13" ht="13" hidden="1"/>
    <row r="31" spans="1:13" ht="13" hidden="1"/>
    <row r="32" spans="1:13" ht="13" hidden="1"/>
    <row r="33" ht="13" hidden="1"/>
    <row r="34" ht="13" hidden="1"/>
    <row r="35" ht="13" hidden="1"/>
    <row r="36" ht="13" hidden="1"/>
    <row r="37" ht="13" hidden="1"/>
    <row r="38" ht="13" hidden="1"/>
    <row r="39" ht="13" hidden="1"/>
    <row r="40" ht="13" hidden="1"/>
    <row r="41" ht="13" hidden="1"/>
    <row r="42" ht="13" hidden="1"/>
    <row r="43" ht="13" hidden="1"/>
    <row r="44" ht="13" hidden="1"/>
    <row r="45" ht="13" hidden="1"/>
    <row r="46" ht="13" hidden="1"/>
    <row r="47" ht="13" hidden="1"/>
    <row r="48" ht="13" hidden="1"/>
    <row r="49" ht="13" hidden="1"/>
    <row r="50" ht="13" hidden="1"/>
    <row r="51" ht="13" hidden="1"/>
    <row r="52" ht="13" hidden="1"/>
    <row r="53" ht="13" hidden="1"/>
    <row r="54" ht="13" hidden="1"/>
    <row r="55" ht="13" hidden="1"/>
    <row r="56" ht="13" hidden="1"/>
    <row r="57" ht="13" hidden="1"/>
    <row r="58" ht="13" hidden="1"/>
    <row r="59" ht="13" hidden="1"/>
    <row r="60" ht="13" hidden="1"/>
    <row r="61" ht="13" hidden="1"/>
    <row r="62" ht="13" hidden="1"/>
    <row r="63" ht="13" hidden="1"/>
    <row r="64" ht="13" hidden="1"/>
    <row r="65" ht="13" hidden="1"/>
    <row r="66" ht="13" hidden="1"/>
    <row r="67" ht="13" hidden="1"/>
    <row r="68" ht="13" hidden="1"/>
    <row r="69" ht="13" hidden="1"/>
    <row r="70" ht="13" hidden="1"/>
    <row r="71" ht="13" hidden="1"/>
    <row r="72" ht="13" hidden="1"/>
    <row r="73" ht="13" hidden="1"/>
    <row r="74" ht="13" hidden="1"/>
    <row r="75" ht="13" hidden="1"/>
    <row r="76" ht="13" hidden="1"/>
    <row r="77" ht="13" hidden="1"/>
    <row r="78" ht="13" hidden="1"/>
    <row r="79" ht="13" hidden="1"/>
    <row r="80" ht="13" hidden="1"/>
    <row r="81" ht="13" hidden="1"/>
    <row r="82" ht="13" hidden="1"/>
    <row r="83" ht="13" hidden="1"/>
    <row r="84" ht="13" hidden="1"/>
    <row r="85" ht="13" hidden="1"/>
    <row r="86" ht="13" hidden="1"/>
    <row r="87" ht="13" hidden="1"/>
    <row r="88" ht="13" hidden="1"/>
    <row r="89" ht="13" hidden="1"/>
    <row r="90" ht="13" hidden="1"/>
    <row r="91" ht="13" hidden="1"/>
    <row r="92" ht="13" hidden="1"/>
    <row r="93" ht="13" hidden="1"/>
    <row r="94" ht="13" hidden="1"/>
    <row r="95" ht="13" hidden="1"/>
    <row r="96" ht="13" hidden="1"/>
    <row r="97" ht="13" hidden="1"/>
    <row r="98" ht="13" hidden="1"/>
    <row r="99" ht="13" hidden="1"/>
    <row r="100" ht="13" hidden="1"/>
    <row r="101" ht="13" hidden="1"/>
    <row r="102" ht="13" hidden="1"/>
    <row r="103" ht="13" hidden="1"/>
    <row r="104" ht="13" hidden="1"/>
    <row r="105" ht="13" hidden="1"/>
    <row r="106" ht="13" hidden="1"/>
    <row r="107" ht="13" hidden="1"/>
    <row r="108" ht="13" hidden="1"/>
    <row r="109" ht="13" hidden="1"/>
    <row r="110" ht="13" hidden="1"/>
    <row r="111" ht="13" hidden="1"/>
    <row r="112" ht="13" hidden="1"/>
    <row r="113" ht="13" hidden="1"/>
    <row r="114" ht="13" hidden="1"/>
    <row r="115" ht="13" hidden="1"/>
    <row r="116" ht="13" hidden="1"/>
    <row r="117" ht="13" hidden="1"/>
    <row r="118" ht="13" hidden="1"/>
    <row r="119" ht="13" hidden="1"/>
    <row r="120" ht="13" hidden="1"/>
    <row r="121" ht="13" hidden="1"/>
    <row r="122" ht="13" hidden="1"/>
    <row r="123" ht="13" hidden="1"/>
    <row r="124" ht="13" hidden="1"/>
    <row r="125" ht="13" hidden="1"/>
    <row r="126" ht="13" hidden="1"/>
    <row r="127" ht="13" hidden="1"/>
    <row r="128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  <row r="999" ht="13" hidden="1"/>
    <row r="1000" ht="13" hidden="1"/>
    <row r="1001" ht="13" hidden="1"/>
    <row r="1002" ht="13" hidden="1"/>
    <row r="1003" ht="13" hidden="1"/>
    <row r="1004" ht="13" hidden="1"/>
    <row r="1005" ht="13" hidden="1"/>
    <row r="1006" ht="13" hidden="1"/>
    <row r="1007" ht="13" hidden="1"/>
    <row r="1008" ht="13" hidden="1"/>
    <row r="1009" ht="13" hidden="1"/>
    <row r="1010" ht="13" hidden="1"/>
    <row r="1011" ht="13" hidden="1"/>
  </sheetData>
  <mergeCells count="27">
    <mergeCell ref="K2:K3"/>
    <mergeCell ref="L2:L3"/>
    <mergeCell ref="A1:M1"/>
    <mergeCell ref="A2:B2"/>
    <mergeCell ref="C2:C3"/>
    <mergeCell ref="D2:E2"/>
    <mergeCell ref="F2:F3"/>
    <mergeCell ref="G2:G3"/>
    <mergeCell ref="H2:H3"/>
    <mergeCell ref="M2:M3"/>
    <mergeCell ref="I2:I3"/>
    <mergeCell ref="J2:J3"/>
    <mergeCell ref="A10:B10"/>
    <mergeCell ref="C10:C11"/>
    <mergeCell ref="D10:E10"/>
    <mergeCell ref="F10:F11"/>
    <mergeCell ref="G10:G11"/>
    <mergeCell ref="H15:J15"/>
    <mergeCell ref="H16:J16"/>
    <mergeCell ref="H17:J17"/>
    <mergeCell ref="H10:J11"/>
    <mergeCell ref="K10:K11"/>
    <mergeCell ref="L10:L11"/>
    <mergeCell ref="M10:M11"/>
    <mergeCell ref="H12:J12"/>
    <mergeCell ref="H13:J13"/>
    <mergeCell ref="H14:J14"/>
  </mergeCells>
  <pageMargins left="0.7" right="0.7" top="0.75" bottom="0.75" header="0.3" footer="0.3"/>
  <pageSetup paperSize="8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Criteria!$A$38:$A$39</xm:f>
          </x14:formula1>
          <xm:sqref>B4:B9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00"/>
  <sheetViews>
    <sheetView zoomScale="169" zoomScaleNormal="169" workbookViewId="0">
      <selection activeCell="AD14" sqref="AD14"/>
    </sheetView>
  </sheetViews>
  <sheetFormatPr baseColWidth="10" defaultColWidth="12.6640625" defaultRowHeight="15.75" customHeight="1"/>
  <cols>
    <col min="1" max="1" width="22.1640625" customWidth="1"/>
    <col min="2" max="2" width="12.33203125" customWidth="1"/>
    <col min="3" max="3" width="12.1640625" customWidth="1"/>
    <col min="4" max="4" width="11" bestFit="1" customWidth="1"/>
    <col min="5" max="5" width="6.6640625" bestFit="1" customWidth="1"/>
    <col min="6" max="6" width="23.1640625" customWidth="1"/>
    <col min="7" max="28" width="12.6640625" hidden="1"/>
  </cols>
  <sheetData>
    <row r="1" spans="1:6" ht="31.5" customHeight="1">
      <c r="A1" s="521" t="s">
        <v>21</v>
      </c>
      <c r="B1" s="515"/>
      <c r="C1" s="515"/>
      <c r="D1" s="515"/>
      <c r="E1" s="515"/>
      <c r="F1" s="515"/>
    </row>
    <row r="2" spans="1:6" ht="13">
      <c r="A2" s="522" t="s">
        <v>90</v>
      </c>
      <c r="B2" s="523"/>
      <c r="C2" s="523"/>
      <c r="D2" s="523"/>
      <c r="E2" s="523"/>
      <c r="F2" s="524"/>
    </row>
    <row r="3" spans="1:6" ht="13">
      <c r="A3" s="331" t="s">
        <v>42</v>
      </c>
      <c r="B3" s="331" t="s">
        <v>40</v>
      </c>
      <c r="C3" s="331" t="s">
        <v>532</v>
      </c>
      <c r="D3" s="331" t="s">
        <v>91</v>
      </c>
      <c r="E3" s="331" t="s">
        <v>33</v>
      </c>
      <c r="F3" s="331" t="s">
        <v>32</v>
      </c>
    </row>
    <row r="4" spans="1:6" ht="13">
      <c r="A4" s="11" t="s">
        <v>528</v>
      </c>
      <c r="B4" s="11" t="s">
        <v>53</v>
      </c>
      <c r="C4" s="11">
        <v>55</v>
      </c>
      <c r="D4" s="11">
        <f t="shared" ref="D4:D10" si="0">C4*0.1</f>
        <v>5.5</v>
      </c>
      <c r="E4" s="11">
        <f t="shared" ref="E4:E10" si="1">SUM(C4:D4)</f>
        <v>60.5</v>
      </c>
      <c r="F4" s="11"/>
    </row>
    <row r="5" spans="1:6" ht="13">
      <c r="A5" s="11" t="s">
        <v>529</v>
      </c>
      <c r="B5" s="11" t="s">
        <v>53</v>
      </c>
      <c r="C5" s="11">
        <v>70</v>
      </c>
      <c r="D5" s="11">
        <f t="shared" si="0"/>
        <v>7</v>
      </c>
      <c r="E5" s="11">
        <f t="shared" si="1"/>
        <v>77</v>
      </c>
      <c r="F5" s="11"/>
    </row>
    <row r="6" spans="1:6" ht="13">
      <c r="A6" s="11" t="s">
        <v>530</v>
      </c>
      <c r="B6" s="11" t="s">
        <v>53</v>
      </c>
      <c r="C6" s="11">
        <v>70</v>
      </c>
      <c r="D6" s="11">
        <f t="shared" si="0"/>
        <v>7</v>
      </c>
      <c r="E6" s="11">
        <f t="shared" si="1"/>
        <v>77</v>
      </c>
      <c r="F6" s="11"/>
    </row>
    <row r="7" spans="1:6" ht="13">
      <c r="A7" s="11" t="s">
        <v>531</v>
      </c>
      <c r="B7" s="11" t="s">
        <v>53</v>
      </c>
      <c r="C7" s="11">
        <v>30</v>
      </c>
      <c r="D7" s="11">
        <f t="shared" si="0"/>
        <v>3</v>
      </c>
      <c r="E7" s="11">
        <f t="shared" si="1"/>
        <v>33</v>
      </c>
      <c r="F7" s="11"/>
    </row>
    <row r="8" spans="1:6" ht="13">
      <c r="A8" s="11"/>
      <c r="B8" s="11"/>
      <c r="C8" s="11"/>
      <c r="D8" s="11"/>
      <c r="E8" s="11"/>
      <c r="F8" s="11"/>
    </row>
    <row r="9" spans="1:6" ht="13">
      <c r="A9" s="11" t="s">
        <v>533</v>
      </c>
      <c r="B9" s="11" t="s">
        <v>53</v>
      </c>
      <c r="C9" s="11">
        <v>3</v>
      </c>
      <c r="D9" s="11">
        <f t="shared" si="0"/>
        <v>0.30000000000000004</v>
      </c>
      <c r="E9" s="11">
        <f t="shared" si="1"/>
        <v>3.3</v>
      </c>
      <c r="F9" s="11"/>
    </row>
    <row r="10" spans="1:6" ht="13">
      <c r="A10" s="11"/>
      <c r="B10" s="11"/>
      <c r="C10" s="11"/>
      <c r="D10" s="11">
        <f t="shared" si="0"/>
        <v>0</v>
      </c>
      <c r="E10" s="11">
        <f t="shared" si="1"/>
        <v>0</v>
      </c>
      <c r="F10" s="11">
        <f>SUM(E4:E9)</f>
        <v>250.8</v>
      </c>
    </row>
    <row r="11" spans="1:6" ht="13">
      <c r="A11" s="522" t="s">
        <v>92</v>
      </c>
      <c r="B11" s="523"/>
      <c r="C11" s="523"/>
      <c r="D11" s="523"/>
      <c r="E11" s="523"/>
      <c r="F11" s="524"/>
    </row>
    <row r="12" spans="1:6" ht="13">
      <c r="A12" s="331" t="s">
        <v>42</v>
      </c>
      <c r="B12" s="331" t="s">
        <v>40</v>
      </c>
      <c r="C12" s="331" t="s">
        <v>86</v>
      </c>
      <c r="D12" s="331" t="s">
        <v>91</v>
      </c>
      <c r="E12" s="331" t="s">
        <v>33</v>
      </c>
      <c r="F12" s="331" t="s">
        <v>32</v>
      </c>
    </row>
    <row r="13" spans="1:6" ht="13">
      <c r="A13" s="11">
        <v>150</v>
      </c>
      <c r="B13" s="11"/>
      <c r="C13" s="11"/>
      <c r="D13" s="11">
        <f t="shared" ref="D13:D18" si="2">C13*0.1</f>
        <v>0</v>
      </c>
      <c r="E13" s="11">
        <f t="shared" ref="E13:E18" si="3">SUM(C13:D13)</f>
        <v>0</v>
      </c>
      <c r="F13" s="11"/>
    </row>
    <row r="14" spans="1:6" ht="13">
      <c r="A14" s="11"/>
      <c r="B14" s="11"/>
      <c r="C14" s="11"/>
      <c r="D14" s="11">
        <f t="shared" si="2"/>
        <v>0</v>
      </c>
      <c r="E14" s="11">
        <f t="shared" si="3"/>
        <v>0</v>
      </c>
      <c r="F14" s="11"/>
    </row>
    <row r="15" spans="1:6" ht="13">
      <c r="A15" s="11"/>
      <c r="B15" s="11"/>
      <c r="C15" s="11"/>
      <c r="D15" s="11">
        <f t="shared" si="2"/>
        <v>0</v>
      </c>
      <c r="E15" s="11">
        <f t="shared" si="3"/>
        <v>0</v>
      </c>
      <c r="F15" s="11"/>
    </row>
    <row r="16" spans="1:6" ht="13">
      <c r="A16" s="11"/>
      <c r="B16" s="11"/>
      <c r="C16" s="11"/>
      <c r="D16" s="11">
        <f t="shared" si="2"/>
        <v>0</v>
      </c>
      <c r="E16" s="11">
        <f t="shared" si="3"/>
        <v>0</v>
      </c>
      <c r="F16" s="11"/>
    </row>
    <row r="17" spans="1:28" ht="13">
      <c r="A17" s="11"/>
      <c r="B17" s="11"/>
      <c r="C17" s="11"/>
      <c r="D17" s="11">
        <f t="shared" si="2"/>
        <v>0</v>
      </c>
      <c r="E17" s="11">
        <f t="shared" si="3"/>
        <v>0</v>
      </c>
      <c r="F17" s="11"/>
    </row>
    <row r="18" spans="1:28" ht="13">
      <c r="A18" s="11"/>
      <c r="B18" s="11"/>
      <c r="C18" s="11"/>
      <c r="D18" s="11">
        <f t="shared" si="2"/>
        <v>0</v>
      </c>
      <c r="E18" s="11">
        <f t="shared" si="3"/>
        <v>0</v>
      </c>
      <c r="F18" s="11"/>
    </row>
    <row r="19" spans="1:28" ht="13">
      <c r="A19" s="522" t="s">
        <v>93</v>
      </c>
      <c r="B19" s="523"/>
      <c r="C19" s="523"/>
      <c r="D19" s="523"/>
      <c r="E19" s="523"/>
      <c r="F19" s="524"/>
    </row>
    <row r="20" spans="1:28" ht="13">
      <c r="A20" s="331" t="s">
        <v>42</v>
      </c>
      <c r="B20" s="331" t="s">
        <v>40</v>
      </c>
      <c r="C20" s="331" t="s">
        <v>86</v>
      </c>
      <c r="D20" s="331" t="s">
        <v>91</v>
      </c>
      <c r="E20" s="331" t="s">
        <v>33</v>
      </c>
      <c r="F20" s="331" t="s">
        <v>32</v>
      </c>
    </row>
    <row r="21" spans="1:28" ht="13">
      <c r="A21" s="1"/>
      <c r="B21" s="11"/>
      <c r="C21" s="1"/>
      <c r="D21" s="11">
        <f t="shared" ref="D21:D26" si="4">C21*0.1</f>
        <v>0</v>
      </c>
      <c r="E21" s="11">
        <f t="shared" ref="E21:E26" si="5">SUM(C21:D21)</f>
        <v>0</v>
      </c>
      <c r="F21" s="1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ht="13">
      <c r="A22" s="11"/>
      <c r="B22" s="11"/>
      <c r="C22" s="11"/>
      <c r="D22" s="11">
        <f t="shared" si="4"/>
        <v>0</v>
      </c>
      <c r="E22" s="11">
        <f t="shared" si="5"/>
        <v>0</v>
      </c>
      <c r="F22" s="11"/>
    </row>
    <row r="23" spans="1:28" ht="13">
      <c r="A23" s="11"/>
      <c r="B23" s="11"/>
      <c r="C23" s="11"/>
      <c r="D23" s="11">
        <f t="shared" si="4"/>
        <v>0</v>
      </c>
      <c r="E23" s="11">
        <f t="shared" si="5"/>
        <v>0</v>
      </c>
      <c r="F23" s="11"/>
    </row>
    <row r="24" spans="1:28" ht="13">
      <c r="A24" s="11"/>
      <c r="B24" s="11"/>
      <c r="C24" s="11"/>
      <c r="D24" s="11">
        <f t="shared" si="4"/>
        <v>0</v>
      </c>
      <c r="E24" s="11">
        <f t="shared" si="5"/>
        <v>0</v>
      </c>
      <c r="F24" s="11"/>
    </row>
    <row r="25" spans="1:28" ht="13">
      <c r="A25" s="11"/>
      <c r="B25" s="11"/>
      <c r="C25" s="11"/>
      <c r="D25" s="11">
        <f t="shared" si="4"/>
        <v>0</v>
      </c>
      <c r="E25" s="11">
        <f t="shared" si="5"/>
        <v>0</v>
      </c>
      <c r="F25" s="11"/>
    </row>
    <row r="26" spans="1:28" ht="13">
      <c r="A26" s="11"/>
      <c r="B26" s="11"/>
      <c r="C26" s="11"/>
      <c r="D26" s="11">
        <f t="shared" si="4"/>
        <v>0</v>
      </c>
      <c r="E26" s="11">
        <f t="shared" si="5"/>
        <v>0</v>
      </c>
      <c r="F26" s="11"/>
    </row>
    <row r="27" spans="1:28" ht="13">
      <c r="A27" s="522" t="s">
        <v>94</v>
      </c>
      <c r="B27" s="523"/>
      <c r="C27" s="523"/>
      <c r="D27" s="523"/>
      <c r="E27" s="523"/>
      <c r="F27" s="524"/>
    </row>
    <row r="28" spans="1:28" ht="13">
      <c r="A28" s="331" t="s">
        <v>42</v>
      </c>
      <c r="B28" s="331" t="s">
        <v>40</v>
      </c>
      <c r="C28" s="331" t="s">
        <v>86</v>
      </c>
      <c r="D28" s="331" t="s">
        <v>91</v>
      </c>
      <c r="E28" s="331" t="s">
        <v>33</v>
      </c>
      <c r="F28" s="331" t="s">
        <v>32</v>
      </c>
    </row>
    <row r="29" spans="1:28" ht="13">
      <c r="A29" s="11"/>
      <c r="B29" s="11"/>
      <c r="C29" s="11"/>
      <c r="D29" s="11">
        <f t="shared" ref="D29:D34" si="6">C29*0.1</f>
        <v>0</v>
      </c>
      <c r="E29" s="11">
        <f t="shared" ref="E29:E34" si="7">SUM(C29:D29)</f>
        <v>0</v>
      </c>
      <c r="F29" s="11"/>
    </row>
    <row r="30" spans="1:28" ht="13">
      <c r="A30" s="11"/>
      <c r="B30" s="11"/>
      <c r="C30" s="11"/>
      <c r="D30" s="11">
        <f t="shared" si="6"/>
        <v>0</v>
      </c>
      <c r="E30" s="11">
        <f t="shared" si="7"/>
        <v>0</v>
      </c>
      <c r="F30" s="11"/>
    </row>
    <row r="31" spans="1:28" ht="13">
      <c r="A31" s="11"/>
      <c r="B31" s="11"/>
      <c r="C31" s="11"/>
      <c r="D31" s="11">
        <f t="shared" si="6"/>
        <v>0</v>
      </c>
      <c r="E31" s="11">
        <f t="shared" si="7"/>
        <v>0</v>
      </c>
      <c r="F31" s="11"/>
    </row>
    <row r="32" spans="1:28" ht="13">
      <c r="A32" s="11"/>
      <c r="B32" s="11"/>
      <c r="C32" s="11"/>
      <c r="D32" s="11">
        <f t="shared" si="6"/>
        <v>0</v>
      </c>
      <c r="E32" s="11">
        <f t="shared" si="7"/>
        <v>0</v>
      </c>
      <c r="F32" s="11"/>
    </row>
    <row r="33" spans="1:6" ht="13">
      <c r="A33" s="11"/>
      <c r="B33" s="11"/>
      <c r="C33" s="11"/>
      <c r="D33" s="11">
        <f t="shared" si="6"/>
        <v>0</v>
      </c>
      <c r="E33" s="11">
        <f t="shared" si="7"/>
        <v>0</v>
      </c>
      <c r="F33" s="11"/>
    </row>
    <row r="34" spans="1:6" ht="13">
      <c r="A34" s="11"/>
      <c r="B34" s="11"/>
      <c r="C34" s="11"/>
      <c r="D34" s="11">
        <f t="shared" si="6"/>
        <v>0</v>
      </c>
      <c r="E34" s="11">
        <f t="shared" si="7"/>
        <v>0</v>
      </c>
      <c r="F34" s="11"/>
    </row>
    <row r="35" spans="1:6" ht="13" hidden="1"/>
    <row r="36" spans="1:6" ht="13" hidden="1"/>
    <row r="37" spans="1:6" ht="13" hidden="1"/>
    <row r="38" spans="1:6" ht="13" hidden="1"/>
    <row r="39" spans="1:6" ht="13" hidden="1"/>
    <row r="40" spans="1:6" ht="13" hidden="1"/>
    <row r="41" spans="1:6" ht="13" hidden="1"/>
    <row r="42" spans="1:6" ht="13" hidden="1"/>
    <row r="43" spans="1:6" ht="13" hidden="1"/>
    <row r="44" spans="1:6" ht="13" hidden="1"/>
    <row r="45" spans="1:6" ht="13" hidden="1"/>
    <row r="46" spans="1:6" ht="13" hidden="1"/>
    <row r="47" spans="1:6" ht="13" hidden="1"/>
    <row r="48" spans="1:6" ht="13" hidden="1"/>
    <row r="49" ht="13" hidden="1"/>
    <row r="50" ht="13" hidden="1"/>
    <row r="51" ht="13" hidden="1"/>
    <row r="52" ht="13" hidden="1"/>
    <row r="53" ht="13" hidden="1"/>
    <row r="54" ht="13" hidden="1"/>
    <row r="55" ht="13" hidden="1"/>
    <row r="56" ht="13" hidden="1"/>
    <row r="57" ht="13" hidden="1"/>
    <row r="58" ht="13" hidden="1"/>
    <row r="59" ht="13" hidden="1"/>
    <row r="60" ht="13" hidden="1"/>
    <row r="61" ht="13" hidden="1"/>
    <row r="62" ht="13" hidden="1"/>
    <row r="63" ht="13" hidden="1"/>
    <row r="64" ht="13" hidden="1"/>
    <row r="65" ht="13" hidden="1"/>
    <row r="66" ht="13" hidden="1"/>
    <row r="67" ht="13" hidden="1"/>
    <row r="68" ht="13" hidden="1"/>
    <row r="69" ht="13" hidden="1"/>
    <row r="70" ht="13" hidden="1"/>
    <row r="71" ht="13" hidden="1"/>
    <row r="72" ht="13" hidden="1"/>
    <row r="73" ht="13" hidden="1"/>
    <row r="74" ht="13" hidden="1"/>
    <row r="75" ht="13" hidden="1"/>
    <row r="76" ht="13" hidden="1"/>
    <row r="77" ht="13" hidden="1"/>
    <row r="78" ht="13" hidden="1"/>
    <row r="79" ht="13" hidden="1"/>
    <row r="80" ht="13" hidden="1"/>
    <row r="81" ht="13" hidden="1"/>
    <row r="82" ht="13" hidden="1"/>
    <row r="83" ht="13" hidden="1"/>
    <row r="84" ht="13" hidden="1"/>
    <row r="85" ht="13" hidden="1"/>
    <row r="86" ht="13" hidden="1"/>
    <row r="87" ht="13" hidden="1"/>
    <row r="88" ht="13" hidden="1"/>
    <row r="89" ht="13" hidden="1"/>
    <row r="90" ht="13" hidden="1"/>
    <row r="91" ht="13" hidden="1"/>
    <row r="92" ht="13" hidden="1"/>
    <row r="93" ht="13" hidden="1"/>
    <row r="94" ht="13" hidden="1"/>
    <row r="95" ht="13" hidden="1"/>
    <row r="96" ht="13" hidden="1"/>
    <row r="97" ht="13" hidden="1"/>
    <row r="98" ht="13" hidden="1"/>
    <row r="99" ht="13" hidden="1"/>
    <row r="100" ht="13" hidden="1"/>
    <row r="101" ht="13" hidden="1"/>
    <row r="102" ht="13" hidden="1"/>
    <row r="103" ht="13" hidden="1"/>
    <row r="104" ht="13" hidden="1"/>
    <row r="105" ht="13" hidden="1"/>
    <row r="106" ht="13" hidden="1"/>
    <row r="107" ht="13" hidden="1"/>
    <row r="108" ht="13" hidden="1"/>
    <row r="109" ht="13" hidden="1"/>
    <row r="110" ht="13" hidden="1"/>
    <row r="111" ht="13" hidden="1"/>
    <row r="112" ht="13" hidden="1"/>
    <row r="113" ht="13" hidden="1"/>
    <row r="114" ht="13" hidden="1"/>
    <row r="115" ht="13" hidden="1"/>
    <row r="116" ht="13" hidden="1"/>
    <row r="117" ht="13" hidden="1"/>
    <row r="118" ht="13" hidden="1"/>
    <row r="119" ht="13" hidden="1"/>
    <row r="120" ht="13" hidden="1"/>
    <row r="121" ht="13" hidden="1"/>
    <row r="122" ht="13" hidden="1"/>
    <row r="123" ht="13" hidden="1"/>
    <row r="124" ht="13" hidden="1"/>
    <row r="125" ht="13" hidden="1"/>
    <row r="126" ht="13" hidden="1"/>
    <row r="127" ht="13" hidden="1"/>
    <row r="128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  <row r="999" ht="13" hidden="1"/>
    <row r="1000" ht="13" hidden="1"/>
  </sheetData>
  <mergeCells count="5">
    <mergeCell ref="A1:F1"/>
    <mergeCell ref="A2:F2"/>
    <mergeCell ref="A11:F11"/>
    <mergeCell ref="A19:F19"/>
    <mergeCell ref="A27:F27"/>
  </mergeCells>
  <pageMargins left="0.7" right="0.7" top="0.75" bottom="0.75" header="0.3" footer="0.3"/>
  <pageSetup paperSize="8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700-000000000000}">
          <x14:formula1>
            <xm:f>Criteria!$A$51:$A$52</xm:f>
          </x14:formula1>
          <xm:sqref>B4:B10 B13:B18 B21:B26 B29:B34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selection activeCell="AF1048" sqref="AF1048"/>
    </sheetView>
  </sheetViews>
  <sheetFormatPr baseColWidth="10" defaultColWidth="12.6640625" defaultRowHeight="15.75" customHeight="1"/>
  <cols>
    <col min="1" max="1" width="21.33203125" customWidth="1"/>
    <col min="2" max="3" width="10.83203125" customWidth="1"/>
    <col min="4" max="4" width="12.33203125" customWidth="1"/>
    <col min="5" max="5" width="15.83203125" customWidth="1"/>
    <col min="6" max="6" width="18.83203125" customWidth="1"/>
    <col min="7" max="7" width="15" customWidth="1"/>
    <col min="8" max="8" width="12" customWidth="1"/>
    <col min="9" max="9" width="12.5" bestFit="1" customWidth="1"/>
    <col min="10" max="10" width="17.1640625" customWidth="1"/>
    <col min="11" max="11" width="23.6640625" customWidth="1"/>
    <col min="12" max="12" width="19.6640625" customWidth="1"/>
    <col min="13" max="25" width="12.6640625" hidden="1"/>
    <col min="26" max="26" width="12.6640625" hidden="1" customWidth="1"/>
  </cols>
  <sheetData>
    <row r="1" spans="1:26" ht="23">
      <c r="A1" s="528" t="s">
        <v>95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30"/>
    </row>
    <row r="2" spans="1:26" ht="18">
      <c r="A2" s="531" t="s">
        <v>42</v>
      </c>
      <c r="B2" s="525" t="s">
        <v>96</v>
      </c>
      <c r="C2" s="534" t="s">
        <v>97</v>
      </c>
      <c r="D2" s="535"/>
      <c r="E2" s="525" t="s">
        <v>98</v>
      </c>
      <c r="F2" s="536" t="s">
        <v>99</v>
      </c>
      <c r="G2" s="538" t="s">
        <v>100</v>
      </c>
      <c r="H2" s="525" t="s">
        <v>101</v>
      </c>
      <c r="I2" s="525" t="s">
        <v>102</v>
      </c>
      <c r="J2" s="525" t="s">
        <v>103</v>
      </c>
      <c r="K2" s="525" t="s">
        <v>104</v>
      </c>
      <c r="L2" s="539" t="s">
        <v>105</v>
      </c>
    </row>
    <row r="3" spans="1:26" ht="18">
      <c r="A3" s="532"/>
      <c r="B3" s="533"/>
      <c r="C3" s="159" t="s">
        <v>106</v>
      </c>
      <c r="D3" s="158" t="s">
        <v>107</v>
      </c>
      <c r="E3" s="527"/>
      <c r="F3" s="537"/>
      <c r="G3" s="526"/>
      <c r="H3" s="526"/>
      <c r="I3" s="527"/>
      <c r="J3" s="527"/>
      <c r="K3" s="527"/>
      <c r="L3" s="540"/>
    </row>
    <row r="4" spans="1:26" ht="18">
      <c r="A4" s="161"/>
      <c r="B4" s="157"/>
      <c r="C4" s="157"/>
      <c r="D4" s="157"/>
      <c r="E4" s="154"/>
      <c r="F4" s="162"/>
      <c r="G4" s="164"/>
      <c r="H4" s="163"/>
      <c r="I4" s="160"/>
      <c r="J4" s="154"/>
      <c r="K4" s="154"/>
      <c r="L4" s="154"/>
    </row>
    <row r="5" spans="1:26" ht="18">
      <c r="A5" s="153"/>
      <c r="B5" s="154"/>
      <c r="C5" s="154"/>
      <c r="D5" s="154"/>
      <c r="E5" s="154"/>
      <c r="F5" s="154"/>
      <c r="G5" s="157"/>
      <c r="H5" s="157"/>
      <c r="I5" s="154"/>
      <c r="J5" s="154"/>
      <c r="K5" s="154"/>
      <c r="L5" s="154"/>
    </row>
    <row r="6" spans="1:26" ht="18">
      <c r="A6" s="153"/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</row>
    <row r="7" spans="1:26" ht="18">
      <c r="A7" s="153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</row>
    <row r="8" spans="1:26" ht="18">
      <c r="A8" s="153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</row>
    <row r="9" spans="1:26" ht="18">
      <c r="A9" s="153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</row>
    <row r="10" spans="1:26" ht="18">
      <c r="A10" s="165" t="s">
        <v>108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8">
      <c r="A11" s="166" t="s">
        <v>33</v>
      </c>
      <c r="B11" s="156">
        <f t="shared" ref="B11:L11" si="0">SUM(B4:B10)</f>
        <v>0</v>
      </c>
      <c r="C11" s="156">
        <f t="shared" si="0"/>
        <v>0</v>
      </c>
      <c r="D11" s="156">
        <f t="shared" si="0"/>
        <v>0</v>
      </c>
      <c r="E11" s="156">
        <f t="shared" si="0"/>
        <v>0</v>
      </c>
      <c r="F11" s="156">
        <f t="shared" si="0"/>
        <v>0</v>
      </c>
      <c r="G11" s="156">
        <f t="shared" si="0"/>
        <v>0</v>
      </c>
      <c r="H11" s="156">
        <f t="shared" si="0"/>
        <v>0</v>
      </c>
      <c r="I11" s="156">
        <f t="shared" si="0"/>
        <v>0</v>
      </c>
      <c r="J11" s="156">
        <f t="shared" si="0"/>
        <v>0</v>
      </c>
      <c r="K11" s="156">
        <f t="shared" si="0"/>
        <v>0</v>
      </c>
      <c r="L11" s="156">
        <f t="shared" si="0"/>
        <v>0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8">
      <c r="A12" s="166" t="s">
        <v>14</v>
      </c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3" hidden="1"/>
    <row r="14" spans="1:26" ht="13" hidden="1"/>
    <row r="15" spans="1:26" ht="13" hidden="1"/>
    <row r="16" spans="1:26" ht="13" hidden="1"/>
    <row r="17" ht="13" hidden="1"/>
    <row r="18" ht="13" hidden="1"/>
    <row r="19" ht="13" hidden="1"/>
    <row r="20" ht="13" hidden="1"/>
    <row r="21" ht="13" hidden="1"/>
    <row r="22" ht="13" hidden="1"/>
    <row r="23" ht="13" hidden="1"/>
    <row r="24" ht="13" hidden="1"/>
    <row r="25" ht="13" hidden="1"/>
    <row r="26" ht="13" hidden="1"/>
    <row r="27" ht="13" hidden="1"/>
    <row r="28" ht="13" hidden="1"/>
    <row r="29" ht="13" hidden="1"/>
    <row r="30" ht="13" hidden="1"/>
    <row r="31" ht="13" hidden="1"/>
    <row r="32" ht="13" hidden="1"/>
    <row r="33" ht="13" hidden="1"/>
    <row r="34" ht="13" hidden="1"/>
    <row r="35" ht="13" hidden="1"/>
    <row r="36" ht="13" hidden="1"/>
    <row r="37" ht="13" hidden="1"/>
    <row r="38" ht="13" hidden="1"/>
    <row r="39" ht="13" hidden="1"/>
    <row r="40" ht="13" hidden="1"/>
    <row r="41" ht="13" hidden="1"/>
    <row r="42" ht="13" hidden="1"/>
    <row r="43" ht="13" hidden="1"/>
    <row r="44" ht="13" hidden="1"/>
    <row r="45" ht="13" hidden="1"/>
    <row r="46" ht="13" hidden="1"/>
    <row r="47" ht="13" hidden="1"/>
    <row r="48" ht="13" hidden="1"/>
    <row r="49" ht="13" hidden="1"/>
    <row r="50" ht="13" hidden="1"/>
    <row r="51" ht="13" hidden="1"/>
    <row r="52" ht="13" hidden="1"/>
    <row r="53" ht="13" hidden="1"/>
    <row r="54" ht="13" hidden="1"/>
    <row r="55" ht="13" hidden="1"/>
    <row r="56" ht="13" hidden="1"/>
    <row r="57" ht="13" hidden="1"/>
    <row r="58" ht="13" hidden="1"/>
    <row r="59" ht="13" hidden="1"/>
    <row r="60" ht="13" hidden="1"/>
    <row r="61" ht="13" hidden="1"/>
    <row r="62" ht="13" hidden="1"/>
    <row r="63" ht="13" hidden="1"/>
    <row r="64" ht="13" hidden="1"/>
    <row r="65" ht="13" hidden="1"/>
    <row r="66" ht="13" hidden="1"/>
    <row r="67" ht="13" hidden="1"/>
    <row r="68" ht="13" hidden="1"/>
    <row r="69" ht="13" hidden="1"/>
    <row r="70" ht="13" hidden="1"/>
    <row r="71" ht="13" hidden="1"/>
    <row r="72" ht="13" hidden="1"/>
    <row r="73" ht="13" hidden="1"/>
    <row r="74" ht="13" hidden="1"/>
    <row r="75" ht="13" hidden="1"/>
    <row r="76" ht="13" hidden="1"/>
    <row r="77" ht="13" hidden="1"/>
    <row r="78" ht="13" hidden="1"/>
    <row r="79" ht="13" hidden="1"/>
    <row r="80" ht="13" hidden="1"/>
    <row r="81" ht="13" hidden="1"/>
    <row r="82" ht="13" hidden="1"/>
    <row r="83" ht="13" hidden="1"/>
    <row r="84" ht="13" hidden="1"/>
    <row r="85" ht="13" hidden="1"/>
    <row r="86" ht="13" hidden="1"/>
    <row r="87" ht="13" hidden="1"/>
    <row r="88" ht="13" hidden="1"/>
    <row r="89" ht="13" hidden="1"/>
    <row r="90" ht="13" hidden="1"/>
    <row r="91" ht="13" hidden="1"/>
    <row r="92" ht="13" hidden="1"/>
    <row r="93" ht="13" hidden="1"/>
    <row r="94" ht="13" hidden="1"/>
    <row r="95" ht="13" hidden="1"/>
    <row r="96" ht="13" hidden="1"/>
    <row r="97" ht="13" hidden="1"/>
    <row r="98" ht="13" hidden="1"/>
    <row r="99" ht="13" hidden="1"/>
    <row r="100" ht="13" hidden="1"/>
    <row r="101" ht="13" hidden="1"/>
    <row r="102" ht="13" hidden="1"/>
    <row r="103" ht="13" hidden="1"/>
    <row r="104" ht="13" hidden="1"/>
    <row r="105" ht="13" hidden="1"/>
    <row r="106" ht="13" hidden="1"/>
    <row r="107" ht="13" hidden="1"/>
    <row r="108" ht="13" hidden="1"/>
    <row r="109" ht="13" hidden="1"/>
    <row r="110" ht="13" hidden="1"/>
    <row r="111" ht="13" hidden="1"/>
    <row r="112" ht="13" hidden="1"/>
    <row r="113" ht="13" hidden="1"/>
    <row r="114" ht="13" hidden="1"/>
    <row r="115" ht="13" hidden="1"/>
    <row r="116" ht="13" hidden="1"/>
    <row r="117" ht="13" hidden="1"/>
    <row r="118" ht="13" hidden="1"/>
    <row r="119" ht="13" hidden="1"/>
    <row r="120" ht="13" hidden="1"/>
    <row r="121" ht="13" hidden="1"/>
    <row r="122" ht="13" hidden="1"/>
    <row r="123" ht="13" hidden="1"/>
    <row r="124" ht="13" hidden="1"/>
    <row r="125" ht="13" hidden="1"/>
    <row r="126" ht="13" hidden="1"/>
    <row r="127" ht="13" hidden="1"/>
    <row r="128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  <row r="999" ht="13" hidden="1"/>
    <row r="1000" ht="13" hidden="1"/>
  </sheetData>
  <mergeCells count="12">
    <mergeCell ref="H2:H3"/>
    <mergeCell ref="I2:I3"/>
    <mergeCell ref="J2:J3"/>
    <mergeCell ref="K2:K3"/>
    <mergeCell ref="A1:L1"/>
    <mergeCell ref="A2:A3"/>
    <mergeCell ref="B2:B3"/>
    <mergeCell ref="C2:D2"/>
    <mergeCell ref="E2:E3"/>
    <mergeCell ref="F2:F3"/>
    <mergeCell ref="G2:G3"/>
    <mergeCell ref="L2:L3"/>
  </mergeCells>
  <pageMargins left="0.7" right="0.7" top="0.75" bottom="0.75" header="0.3" footer="0.3"/>
  <pageSetup paperSize="8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9"/>
  <sheetViews>
    <sheetView zoomScale="141" zoomScaleNormal="141" workbookViewId="0">
      <selection activeCell="C10" sqref="A2:C10"/>
    </sheetView>
  </sheetViews>
  <sheetFormatPr baseColWidth="10" defaultColWidth="12.6640625" defaultRowHeight="15.75" customHeight="1"/>
  <cols>
    <col min="1" max="6" width="13" customWidth="1"/>
    <col min="7" max="24" width="12.6640625" hidden="1"/>
  </cols>
  <sheetData>
    <row r="1" spans="1:26" ht="23">
      <c r="A1" s="543" t="s">
        <v>109</v>
      </c>
      <c r="B1" s="544"/>
      <c r="C1" s="544"/>
      <c r="D1" s="544"/>
      <c r="E1" s="544"/>
      <c r="F1" s="545"/>
    </row>
    <row r="2" spans="1:26" ht="13">
      <c r="A2" s="546" t="s">
        <v>110</v>
      </c>
      <c r="B2" s="547"/>
      <c r="C2" s="548"/>
      <c r="D2" s="546" t="s">
        <v>111</v>
      </c>
      <c r="E2" s="547"/>
      <c r="F2" s="548"/>
      <c r="Z2" s="14" t="s">
        <v>154</v>
      </c>
    </row>
    <row r="3" spans="1:26" ht="13">
      <c r="A3" s="168" t="s">
        <v>40</v>
      </c>
      <c r="B3" s="168" t="s">
        <v>112</v>
      </c>
      <c r="C3" s="168" t="s">
        <v>113</v>
      </c>
      <c r="D3" s="168" t="s">
        <v>40</v>
      </c>
      <c r="E3" s="168" t="s">
        <v>112</v>
      </c>
      <c r="F3" s="168" t="s">
        <v>113</v>
      </c>
      <c r="Z3" s="14" t="s">
        <v>153</v>
      </c>
    </row>
    <row r="4" spans="1:26" ht="13">
      <c r="A4" s="10" t="s">
        <v>114</v>
      </c>
      <c r="B4" s="10">
        <v>0</v>
      </c>
      <c r="C4" s="10">
        <f>B4*16</f>
        <v>0</v>
      </c>
      <c r="D4" s="10" t="s">
        <v>114</v>
      </c>
      <c r="E4" s="10">
        <v>0</v>
      </c>
      <c r="F4" s="10">
        <f>E4*16</f>
        <v>0</v>
      </c>
    </row>
    <row r="5" spans="1:26" ht="13">
      <c r="A5" s="10" t="s">
        <v>115</v>
      </c>
      <c r="B5" s="10">
        <v>0</v>
      </c>
      <c r="C5" s="10">
        <f>16*B5</f>
        <v>0</v>
      </c>
      <c r="D5" s="10" t="s">
        <v>115</v>
      </c>
      <c r="E5" s="10">
        <v>0</v>
      </c>
      <c r="F5" s="10">
        <f>16*E5</f>
        <v>0</v>
      </c>
    </row>
    <row r="6" spans="1:26" ht="13">
      <c r="A6" s="10" t="s">
        <v>116</v>
      </c>
      <c r="B6" s="10">
        <v>40</v>
      </c>
      <c r="C6" s="10">
        <f t="shared" ref="C6:C7" si="0">1*B6</f>
        <v>40</v>
      </c>
      <c r="D6" s="10" t="s">
        <v>116</v>
      </c>
      <c r="E6" s="10">
        <v>0</v>
      </c>
      <c r="F6" s="10">
        <f t="shared" ref="F6:F7" si="1">1*E6</f>
        <v>0</v>
      </c>
    </row>
    <row r="7" spans="1:26" ht="13">
      <c r="A7" s="10" t="s">
        <v>117</v>
      </c>
      <c r="B7" s="10">
        <v>2</v>
      </c>
      <c r="C7" s="10">
        <f t="shared" si="0"/>
        <v>2</v>
      </c>
      <c r="D7" s="10" t="s">
        <v>117</v>
      </c>
      <c r="E7" s="10">
        <v>0</v>
      </c>
      <c r="F7" s="10">
        <f t="shared" si="1"/>
        <v>0</v>
      </c>
    </row>
    <row r="8" spans="1:26" ht="13">
      <c r="A8" s="541" t="s">
        <v>118</v>
      </c>
      <c r="B8" s="542"/>
      <c r="C8" s="169">
        <f>SUM(C4:C7)</f>
        <v>42</v>
      </c>
      <c r="D8" s="541" t="s">
        <v>118</v>
      </c>
      <c r="E8" s="542"/>
      <c r="F8" s="169">
        <f>SUM(F4:F7)</f>
        <v>0</v>
      </c>
    </row>
    <row r="9" spans="1:26" ht="13">
      <c r="A9" s="541" t="s">
        <v>119</v>
      </c>
      <c r="B9" s="542"/>
      <c r="C9" s="169">
        <v>3000</v>
      </c>
      <c r="D9" s="541" t="s">
        <v>119</v>
      </c>
      <c r="E9" s="542"/>
      <c r="F9" s="169">
        <v>0</v>
      </c>
    </row>
    <row r="10" spans="1:26" ht="13">
      <c r="A10" s="171">
        <v>75</v>
      </c>
      <c r="B10" s="170" t="s">
        <v>120</v>
      </c>
      <c r="C10" s="35">
        <f>C9/C8</f>
        <v>71.428571428571431</v>
      </c>
      <c r="D10" s="172">
        <v>45</v>
      </c>
      <c r="E10" s="170" t="s">
        <v>120</v>
      </c>
      <c r="F10" s="35" t="e">
        <f>F9/F8</f>
        <v>#DIV/0!</v>
      </c>
    </row>
    <row r="11" spans="1:26" ht="13" hidden="1"/>
    <row r="12" spans="1:26" ht="13" hidden="1"/>
    <row r="13" spans="1:26" ht="13" hidden="1"/>
    <row r="14" spans="1:26" ht="13" hidden="1"/>
    <row r="15" spans="1:26" ht="13" hidden="1"/>
    <row r="16" spans="1:26" ht="13" hidden="1"/>
    <row r="17" ht="13" hidden="1"/>
    <row r="18" ht="13" hidden="1"/>
    <row r="19" ht="13" hidden="1"/>
    <row r="20" ht="13" hidden="1"/>
    <row r="21" ht="13" hidden="1"/>
    <row r="22" ht="13" hidden="1"/>
    <row r="23" ht="13" hidden="1"/>
    <row r="24" ht="13" hidden="1"/>
    <row r="25" ht="13" hidden="1"/>
    <row r="26" ht="13" hidden="1"/>
    <row r="27" ht="13" hidden="1"/>
    <row r="28" ht="13" hidden="1"/>
    <row r="29" ht="13" hidden="1"/>
    <row r="30" ht="13" hidden="1"/>
    <row r="31" ht="13" hidden="1"/>
    <row r="32" ht="13" hidden="1"/>
    <row r="33" ht="13" hidden="1"/>
    <row r="34" ht="13" hidden="1"/>
    <row r="35" ht="13" hidden="1"/>
    <row r="36" ht="13" hidden="1"/>
    <row r="37" ht="13" hidden="1"/>
    <row r="38" ht="13" hidden="1"/>
    <row r="39" ht="13" hidden="1"/>
    <row r="40" ht="13" hidden="1"/>
    <row r="41" ht="13" hidden="1"/>
    <row r="42" ht="13" hidden="1"/>
    <row r="43" ht="13" hidden="1"/>
    <row r="44" ht="13" hidden="1"/>
    <row r="45" ht="13" hidden="1"/>
    <row r="46" ht="13" hidden="1"/>
    <row r="47" ht="13" hidden="1"/>
    <row r="48" ht="13" hidden="1"/>
    <row r="49" ht="13" hidden="1"/>
    <row r="50" ht="13" hidden="1"/>
    <row r="51" ht="13" hidden="1"/>
    <row r="52" ht="13" hidden="1"/>
    <row r="53" ht="13" hidden="1"/>
    <row r="54" ht="13" hidden="1"/>
    <row r="55" ht="13" hidden="1"/>
    <row r="56" ht="13" hidden="1"/>
    <row r="57" ht="13" hidden="1"/>
    <row r="58" ht="13" hidden="1"/>
    <row r="59" ht="13" hidden="1"/>
    <row r="60" ht="13" hidden="1"/>
    <row r="61" ht="13" hidden="1"/>
    <row r="62" ht="13" hidden="1"/>
    <row r="63" ht="13" hidden="1"/>
    <row r="64" ht="13" hidden="1"/>
    <row r="65" ht="13" hidden="1"/>
    <row r="66" ht="13" hidden="1"/>
    <row r="67" ht="13" hidden="1"/>
    <row r="68" ht="13" hidden="1"/>
    <row r="69" ht="13" hidden="1"/>
    <row r="70" ht="13" hidden="1"/>
    <row r="71" ht="13" hidden="1"/>
    <row r="72" ht="13" hidden="1"/>
    <row r="73" ht="13" hidden="1"/>
    <row r="74" ht="13" hidden="1"/>
    <row r="75" ht="13" hidden="1"/>
    <row r="76" ht="13" hidden="1"/>
    <row r="77" ht="13" hidden="1"/>
    <row r="78" ht="13" hidden="1"/>
    <row r="79" ht="13" hidden="1"/>
    <row r="80" ht="13" hidden="1"/>
    <row r="81" ht="13" hidden="1"/>
    <row r="82" ht="13" hidden="1"/>
    <row r="83" ht="13" hidden="1"/>
    <row r="84" ht="13" hidden="1"/>
    <row r="85" ht="13" hidden="1"/>
    <row r="86" ht="13" hidden="1"/>
    <row r="87" ht="13" hidden="1"/>
    <row r="88" ht="13" hidden="1"/>
    <row r="89" ht="13" hidden="1"/>
    <row r="90" ht="13" hidden="1"/>
    <row r="91" ht="13" hidden="1"/>
    <row r="92" ht="13" hidden="1"/>
    <row r="93" ht="13" hidden="1"/>
    <row r="94" ht="13" hidden="1"/>
    <row r="95" ht="13" hidden="1"/>
    <row r="96" ht="13" hidden="1"/>
    <row r="97" ht="13" hidden="1"/>
    <row r="98" ht="13" hidden="1"/>
    <row r="99" ht="13" hidden="1"/>
    <row r="100" ht="13" hidden="1"/>
    <row r="101" ht="13" hidden="1"/>
    <row r="102" ht="13" hidden="1"/>
    <row r="103" ht="13" hidden="1"/>
    <row r="104" ht="13" hidden="1"/>
    <row r="105" ht="13" hidden="1"/>
    <row r="106" ht="13" hidden="1"/>
    <row r="107" ht="13" hidden="1"/>
    <row r="108" ht="13" hidden="1"/>
    <row r="109" ht="13" hidden="1"/>
    <row r="110" ht="13" hidden="1"/>
    <row r="111" ht="13" hidden="1"/>
    <row r="112" ht="13" hidden="1"/>
    <row r="113" ht="13" hidden="1"/>
    <row r="114" ht="13" hidden="1"/>
    <row r="115" ht="13" hidden="1"/>
    <row r="116" ht="13" hidden="1"/>
    <row r="117" ht="13" hidden="1"/>
    <row r="118" ht="13" hidden="1"/>
    <row r="119" ht="13" hidden="1"/>
    <row r="120" ht="13" hidden="1"/>
    <row r="121" ht="13" hidden="1"/>
    <row r="122" ht="13" hidden="1"/>
    <row r="123" ht="13" hidden="1"/>
    <row r="124" ht="13" hidden="1"/>
    <row r="125" ht="13" hidden="1"/>
    <row r="126" ht="13" hidden="1"/>
    <row r="127" ht="13" hidden="1"/>
    <row r="128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  <row r="999" ht="13" hidden="1"/>
  </sheetData>
  <mergeCells count="7">
    <mergeCell ref="A9:B9"/>
    <mergeCell ref="D9:E9"/>
    <mergeCell ref="A1:F1"/>
    <mergeCell ref="A2:C2"/>
    <mergeCell ref="D2:F2"/>
    <mergeCell ref="A8:B8"/>
    <mergeCell ref="D8:E8"/>
  </mergeCells>
  <conditionalFormatting sqref="C10">
    <cfRule type="cellIs" dxfId="4" priority="2" operator="greaterThan">
      <formula>A10</formula>
    </cfRule>
    <cfRule type="cellIs" dxfId="3" priority="3" operator="lessThanOrEqual">
      <formula>A10</formula>
    </cfRule>
  </conditionalFormatting>
  <conditionalFormatting sqref="F10">
    <cfRule type="cellIs" dxfId="2" priority="4" operator="greaterThan">
      <formula>D10</formula>
    </cfRule>
    <cfRule type="cellIs" dxfId="1" priority="5" operator="lessThanOrEqual">
      <formula>D10</formula>
    </cfRule>
  </conditionalFormatting>
  <conditionalFormatting sqref="G14">
    <cfRule type="notContainsBlanks" dxfId="0" priority="1">
      <formula>LEN(TRIM(G14))&gt;0</formula>
    </cfRule>
  </conditionalFormatting>
  <pageMargins left="0.7" right="0.7" top="0.75" bottom="0.75" header="0.3" footer="0.3"/>
  <pageSetup paperSize="8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selection activeCell="AA1014" sqref="AA1014"/>
    </sheetView>
  </sheetViews>
  <sheetFormatPr baseColWidth="10" defaultColWidth="12.6640625" defaultRowHeight="15.75" customHeight="1"/>
  <cols>
    <col min="1" max="2" width="22" customWidth="1"/>
    <col min="3" max="26" width="12.6640625" hidden="1"/>
  </cols>
  <sheetData>
    <row r="1" spans="1:2" ht="31.5" customHeight="1">
      <c r="A1" s="453" t="s">
        <v>121</v>
      </c>
      <c r="B1" s="542"/>
    </row>
    <row r="2" spans="1:2" ht="18" customHeight="1">
      <c r="A2" s="345" t="s">
        <v>122</v>
      </c>
      <c r="B2" s="345" t="s">
        <v>84</v>
      </c>
    </row>
    <row r="3" spans="1:2" ht="18" customHeight="1">
      <c r="A3" s="11"/>
      <c r="B3" s="11"/>
    </row>
    <row r="4" spans="1:2" ht="18" customHeight="1">
      <c r="A4" s="11"/>
      <c r="B4" s="11"/>
    </row>
    <row r="5" spans="1:2" ht="18" customHeight="1">
      <c r="A5" s="11"/>
      <c r="B5" s="11"/>
    </row>
    <row r="6" spans="1:2" ht="18" customHeight="1">
      <c r="A6" s="11"/>
      <c r="B6" s="11"/>
    </row>
    <row r="7" spans="1:2" ht="18" customHeight="1">
      <c r="A7" s="11"/>
      <c r="B7" s="11"/>
    </row>
    <row r="8" spans="1:2" ht="18" customHeight="1">
      <c r="A8" s="11"/>
      <c r="B8" s="11"/>
    </row>
    <row r="9" spans="1:2" ht="13" hidden="1"/>
    <row r="10" spans="1:2" ht="13" hidden="1"/>
    <row r="11" spans="1:2" ht="13" hidden="1"/>
    <row r="12" spans="1:2" ht="13" hidden="1"/>
    <row r="13" spans="1:2" ht="13" hidden="1"/>
    <row r="14" spans="1:2" ht="13" hidden="1"/>
    <row r="15" spans="1:2" ht="13" hidden="1"/>
    <row r="16" spans="1:2" ht="13" hidden="1"/>
    <row r="17" ht="13" hidden="1"/>
    <row r="18" ht="13" hidden="1"/>
    <row r="19" ht="13" hidden="1"/>
    <row r="20" ht="13" hidden="1"/>
    <row r="21" ht="13" hidden="1"/>
    <row r="22" ht="13" hidden="1"/>
    <row r="23" ht="13" hidden="1"/>
    <row r="24" ht="13" hidden="1"/>
    <row r="25" ht="13" hidden="1"/>
    <row r="26" ht="13" hidden="1"/>
    <row r="27" ht="13" hidden="1"/>
    <row r="28" ht="13" hidden="1"/>
    <row r="29" ht="13" hidden="1"/>
    <row r="30" ht="13" hidden="1"/>
    <row r="31" ht="13" hidden="1"/>
    <row r="32" ht="13" hidden="1"/>
    <row r="33" ht="13" hidden="1"/>
    <row r="34" ht="13" hidden="1"/>
    <row r="35" ht="13" hidden="1"/>
    <row r="36" ht="13" hidden="1"/>
    <row r="37" ht="13" hidden="1"/>
    <row r="38" ht="13" hidden="1"/>
    <row r="39" ht="13" hidden="1"/>
    <row r="40" ht="13" hidden="1"/>
    <row r="41" ht="13" hidden="1"/>
    <row r="42" ht="13" hidden="1"/>
    <row r="43" ht="13" hidden="1"/>
    <row r="44" ht="13" hidden="1"/>
    <row r="45" ht="13" hidden="1"/>
    <row r="46" ht="13" hidden="1"/>
    <row r="47" ht="13" hidden="1"/>
    <row r="48" ht="13" hidden="1"/>
    <row r="49" ht="13" hidden="1"/>
    <row r="50" ht="13" hidden="1"/>
    <row r="51" ht="13" hidden="1"/>
    <row r="52" ht="13" hidden="1"/>
    <row r="53" ht="13" hidden="1"/>
    <row r="54" ht="13" hidden="1"/>
    <row r="55" ht="13" hidden="1"/>
    <row r="56" ht="13" hidden="1"/>
    <row r="57" ht="13" hidden="1"/>
    <row r="58" ht="13" hidden="1"/>
    <row r="59" ht="13" hidden="1"/>
    <row r="60" ht="13" hidden="1"/>
    <row r="61" ht="13" hidden="1"/>
    <row r="62" ht="13" hidden="1"/>
    <row r="63" ht="13" hidden="1"/>
    <row r="64" ht="13" hidden="1"/>
    <row r="65" ht="13" hidden="1"/>
    <row r="66" ht="13" hidden="1"/>
    <row r="67" ht="13" hidden="1"/>
    <row r="68" ht="13" hidden="1"/>
    <row r="69" ht="13" hidden="1"/>
    <row r="70" ht="13" hidden="1"/>
    <row r="71" ht="13" hidden="1"/>
    <row r="72" ht="13" hidden="1"/>
    <row r="73" ht="13" hidden="1"/>
    <row r="74" ht="13" hidden="1"/>
    <row r="75" ht="13" hidden="1"/>
    <row r="76" ht="13" hidden="1"/>
    <row r="77" ht="13" hidden="1"/>
    <row r="78" ht="13" hidden="1"/>
    <row r="79" ht="13" hidden="1"/>
    <row r="80" ht="13" hidden="1"/>
    <row r="81" ht="13" hidden="1"/>
    <row r="82" ht="13" hidden="1"/>
    <row r="83" ht="13" hidden="1"/>
    <row r="84" ht="13" hidden="1"/>
    <row r="85" ht="13" hidden="1"/>
    <row r="86" ht="13" hidden="1"/>
    <row r="87" ht="13" hidden="1"/>
    <row r="88" ht="13" hidden="1"/>
    <row r="89" ht="13" hidden="1"/>
    <row r="90" ht="13" hidden="1"/>
    <row r="91" ht="13" hidden="1"/>
    <row r="92" ht="13" hidden="1"/>
    <row r="93" ht="13" hidden="1"/>
    <row r="94" ht="13" hidden="1"/>
    <row r="95" ht="13" hidden="1"/>
    <row r="96" ht="13" hidden="1"/>
    <row r="97" ht="13" hidden="1"/>
    <row r="98" ht="13" hidden="1"/>
    <row r="99" ht="13" hidden="1"/>
    <row r="100" ht="13" hidden="1"/>
    <row r="101" ht="13" hidden="1"/>
    <row r="102" ht="13" hidden="1"/>
    <row r="103" ht="13" hidden="1"/>
    <row r="104" ht="13" hidden="1"/>
    <row r="105" ht="13" hidden="1"/>
    <row r="106" ht="13" hidden="1"/>
    <row r="107" ht="13" hidden="1"/>
    <row r="108" ht="13" hidden="1"/>
    <row r="109" ht="13" hidden="1"/>
    <row r="110" ht="13" hidden="1"/>
    <row r="111" ht="13" hidden="1"/>
    <row r="112" ht="13" hidden="1"/>
    <row r="113" ht="13" hidden="1"/>
    <row r="114" ht="13" hidden="1"/>
    <row r="115" ht="13" hidden="1"/>
    <row r="116" ht="13" hidden="1"/>
    <row r="117" ht="13" hidden="1"/>
    <row r="118" ht="13" hidden="1"/>
    <row r="119" ht="13" hidden="1"/>
    <row r="120" ht="13" hidden="1"/>
    <row r="121" ht="13" hidden="1"/>
    <row r="122" ht="13" hidden="1"/>
    <row r="123" ht="13" hidden="1"/>
    <row r="124" ht="13" hidden="1"/>
    <row r="125" ht="13" hidden="1"/>
    <row r="126" ht="13" hidden="1"/>
    <row r="127" ht="13" hidden="1"/>
    <row r="128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  <row r="999" ht="13" hidden="1"/>
    <row r="1000" ht="13" hidden="1"/>
  </sheetData>
  <mergeCells count="1">
    <mergeCell ref="A1:B1"/>
  </mergeCells>
  <pageMargins left="0.7" right="0.7" top="0.75" bottom="0.75" header="0.3" footer="0.3"/>
  <pageSetup paperSize="8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1"/>
  <sheetViews>
    <sheetView workbookViewId="0">
      <selection activeCell="AC16" sqref="AC16"/>
    </sheetView>
  </sheetViews>
  <sheetFormatPr baseColWidth="10" defaultColWidth="12.6640625" defaultRowHeight="15.75" customHeight="1"/>
  <cols>
    <col min="1" max="1" width="26.83203125" customWidth="1"/>
    <col min="2" max="2" width="12.6640625" hidden="1"/>
    <col min="3" max="3" width="10.6640625" hidden="1" customWidth="1"/>
    <col min="4" max="4" width="24.1640625" hidden="1" customWidth="1"/>
    <col min="5" max="5" width="23.83203125" hidden="1" customWidth="1"/>
    <col min="6" max="26" width="12.6640625" hidden="1"/>
  </cols>
  <sheetData>
    <row r="1" spans="1:5" ht="16">
      <c r="A1" s="36" t="s">
        <v>534</v>
      </c>
      <c r="B1" s="37"/>
      <c r="C1" s="38"/>
      <c r="D1" s="37"/>
    </row>
    <row r="2" spans="1:5" ht="16">
      <c r="A2" s="36" t="s">
        <v>535</v>
      </c>
      <c r="B2" s="37"/>
      <c r="C2" s="38"/>
      <c r="D2" s="37"/>
    </row>
    <row r="3" spans="1:5" ht="16">
      <c r="A3" s="39" t="s">
        <v>536</v>
      </c>
      <c r="B3" s="37"/>
      <c r="C3" s="38"/>
      <c r="D3" s="37"/>
    </row>
    <row r="4" spans="1:5" ht="16">
      <c r="A4" s="39" t="s">
        <v>537</v>
      </c>
      <c r="B4" s="37"/>
      <c r="C4" s="38"/>
      <c r="D4" s="37"/>
    </row>
    <row r="5" spans="1:5" ht="16">
      <c r="A5" s="39" t="s">
        <v>538</v>
      </c>
      <c r="B5" s="37"/>
      <c r="C5" s="38"/>
      <c r="D5" s="37"/>
    </row>
    <row r="6" spans="1:5" ht="16">
      <c r="A6" s="39" t="s">
        <v>539</v>
      </c>
      <c r="B6" s="37"/>
      <c r="C6" s="38"/>
      <c r="D6" s="37"/>
    </row>
    <row r="7" spans="1:5" ht="16">
      <c r="A7" s="36"/>
      <c r="B7" s="37"/>
      <c r="C7" s="38"/>
      <c r="D7" s="37"/>
    </row>
    <row r="8" spans="1:5" ht="16">
      <c r="A8" s="40"/>
      <c r="B8" s="37"/>
      <c r="C8" s="38"/>
      <c r="D8" s="37"/>
    </row>
    <row r="9" spans="1:5" ht="16">
      <c r="A9" s="337" t="s">
        <v>45</v>
      </c>
      <c r="B9" s="37"/>
      <c r="C9" s="38"/>
      <c r="D9" s="37"/>
    </row>
    <row r="10" spans="1:5" ht="16">
      <c r="A10" s="335" t="s">
        <v>53</v>
      </c>
      <c r="B10" s="37"/>
      <c r="C10" s="38"/>
      <c r="D10" s="37"/>
    </row>
    <row r="11" spans="1:5" ht="16">
      <c r="A11" s="336" t="s">
        <v>61</v>
      </c>
      <c r="B11" s="37"/>
      <c r="C11" s="38"/>
      <c r="D11" s="37"/>
    </row>
    <row r="12" spans="1:5" ht="16">
      <c r="A12" s="338" t="s">
        <v>51</v>
      </c>
      <c r="B12" s="37"/>
      <c r="C12" s="38"/>
      <c r="D12" s="37"/>
      <c r="E12" s="37"/>
    </row>
    <row r="13" spans="1:5" ht="16">
      <c r="A13" s="339" t="s">
        <v>59</v>
      </c>
      <c r="B13" s="37"/>
      <c r="C13" s="38"/>
      <c r="D13" s="37"/>
      <c r="E13" s="37"/>
    </row>
    <row r="14" spans="1:5" ht="16">
      <c r="A14" s="340" t="s">
        <v>45</v>
      </c>
      <c r="B14" s="37"/>
      <c r="C14" s="38"/>
      <c r="D14" s="37"/>
      <c r="E14" s="37"/>
    </row>
    <row r="15" spans="1:5" ht="16">
      <c r="A15" s="344" t="s">
        <v>60</v>
      </c>
      <c r="B15" s="37"/>
      <c r="C15" s="38"/>
      <c r="D15" s="37"/>
      <c r="E15" s="37"/>
    </row>
    <row r="16" spans="1:5" ht="16">
      <c r="A16" s="343" t="s">
        <v>123</v>
      </c>
      <c r="B16" s="37"/>
      <c r="C16" s="38"/>
      <c r="D16" s="37"/>
      <c r="E16" s="37"/>
    </row>
    <row r="17" spans="1:6" ht="16">
      <c r="A17" s="342" t="s">
        <v>124</v>
      </c>
      <c r="B17" s="37"/>
      <c r="C17" s="38"/>
      <c r="D17" s="37"/>
      <c r="E17" s="37"/>
    </row>
    <row r="18" spans="1:6" ht="16">
      <c r="A18" s="341" t="s">
        <v>54</v>
      </c>
      <c r="B18" s="37"/>
      <c r="C18" s="38"/>
      <c r="D18" s="37"/>
      <c r="E18" s="37"/>
    </row>
    <row r="19" spans="1:6" ht="16">
      <c r="A19" s="41"/>
      <c r="B19" s="37"/>
      <c r="C19" s="38"/>
      <c r="D19" s="37"/>
      <c r="E19" s="37"/>
      <c r="F19" s="37"/>
    </row>
    <row r="20" spans="1:6" ht="16">
      <c r="A20" s="36" t="s">
        <v>152</v>
      </c>
      <c r="B20" s="37"/>
      <c r="C20" s="38"/>
      <c r="D20" s="37"/>
      <c r="E20" s="37"/>
      <c r="F20" s="37"/>
    </row>
    <row r="21" spans="1:6" ht="16">
      <c r="A21" s="36" t="s">
        <v>125</v>
      </c>
      <c r="B21" s="37"/>
      <c r="C21" s="38"/>
      <c r="D21" s="37"/>
      <c r="E21" s="37"/>
      <c r="F21" s="37"/>
    </row>
    <row r="22" spans="1:6" ht="16">
      <c r="A22" s="36" t="s">
        <v>126</v>
      </c>
      <c r="C22" s="42"/>
    </row>
    <row r="23" spans="1:6" ht="16">
      <c r="A23" s="36" t="s">
        <v>127</v>
      </c>
      <c r="C23" s="42"/>
    </row>
    <row r="24" spans="1:6" ht="16">
      <c r="A24" s="36" t="s">
        <v>128</v>
      </c>
      <c r="C24" s="42"/>
    </row>
    <row r="25" spans="1:6" ht="16">
      <c r="A25" s="36" t="s">
        <v>129</v>
      </c>
      <c r="C25" s="42"/>
    </row>
    <row r="26" spans="1:6" ht="16">
      <c r="A26" s="36" t="s">
        <v>130</v>
      </c>
      <c r="C26" s="42"/>
    </row>
    <row r="27" spans="1:6" ht="16">
      <c r="A27" s="36" t="s">
        <v>131</v>
      </c>
      <c r="C27" s="42"/>
    </row>
    <row r="28" spans="1:6" ht="16">
      <c r="A28" s="36" t="s">
        <v>132</v>
      </c>
      <c r="C28" s="42"/>
    </row>
    <row r="29" spans="1:6" ht="16">
      <c r="A29" s="36" t="s">
        <v>133</v>
      </c>
      <c r="C29" s="42"/>
    </row>
    <row r="30" spans="1:6" ht="16">
      <c r="A30" s="36" t="s">
        <v>134</v>
      </c>
      <c r="C30" s="42"/>
    </row>
    <row r="31" spans="1:6" ht="16">
      <c r="A31" s="36" t="s">
        <v>135</v>
      </c>
      <c r="C31" s="42"/>
    </row>
    <row r="32" spans="1:6" ht="16">
      <c r="A32" s="36" t="s">
        <v>136</v>
      </c>
      <c r="C32" s="42"/>
    </row>
    <row r="33" spans="1:3" ht="16">
      <c r="A33" s="36" t="s">
        <v>137</v>
      </c>
      <c r="C33" s="42"/>
    </row>
    <row r="34" spans="1:3" ht="16">
      <c r="A34" s="36" t="s">
        <v>138</v>
      </c>
      <c r="C34" s="42"/>
    </row>
    <row r="35" spans="1:3" ht="16">
      <c r="A35" s="36" t="s">
        <v>139</v>
      </c>
      <c r="C35" s="42"/>
    </row>
    <row r="36" spans="1:3" ht="16">
      <c r="A36" s="36" t="s">
        <v>140</v>
      </c>
      <c r="C36" s="42"/>
    </row>
    <row r="37" spans="1:3" ht="15.75" customHeight="1">
      <c r="A37" s="43"/>
      <c r="C37" s="42"/>
    </row>
    <row r="38" spans="1:3" ht="16">
      <c r="A38" s="44" t="s">
        <v>141</v>
      </c>
      <c r="C38" s="42"/>
    </row>
    <row r="39" spans="1:3" ht="16">
      <c r="A39" s="44" t="s">
        <v>142</v>
      </c>
      <c r="C39" s="42"/>
    </row>
    <row r="40" spans="1:3" ht="15.75" customHeight="1">
      <c r="A40" s="5"/>
      <c r="C40" s="42"/>
    </row>
    <row r="41" spans="1:3" ht="16">
      <c r="A41" s="334" t="s">
        <v>143</v>
      </c>
      <c r="C41" s="42"/>
    </row>
    <row r="42" spans="1:3" ht="16">
      <c r="A42" s="334" t="s">
        <v>144</v>
      </c>
      <c r="C42" s="42"/>
    </row>
    <row r="43" spans="1:3" ht="16">
      <c r="A43" s="334" t="s">
        <v>145</v>
      </c>
      <c r="C43" s="42"/>
    </row>
    <row r="44" spans="1:3" ht="16">
      <c r="A44" s="334" t="s">
        <v>146</v>
      </c>
      <c r="C44" s="42"/>
    </row>
    <row r="45" spans="1:3" ht="15.75" customHeight="1">
      <c r="A45" s="5"/>
      <c r="C45" s="42"/>
    </row>
    <row r="46" spans="1:3" ht="16">
      <c r="A46" s="37" t="s">
        <v>147</v>
      </c>
      <c r="C46" s="42"/>
    </row>
    <row r="47" spans="1:3" ht="16">
      <c r="A47" s="37" t="s">
        <v>148</v>
      </c>
      <c r="C47" s="42"/>
    </row>
    <row r="48" spans="1:3" ht="16">
      <c r="A48" s="37" t="s">
        <v>149</v>
      </c>
      <c r="C48" s="42"/>
    </row>
    <row r="49" spans="1:3" ht="16">
      <c r="A49" s="37" t="s">
        <v>150</v>
      </c>
      <c r="C49" s="42"/>
    </row>
    <row r="50" spans="1:3" ht="15.75" customHeight="1">
      <c r="A50" s="5"/>
      <c r="C50" s="42"/>
    </row>
    <row r="51" spans="1:3" ht="16">
      <c r="A51" s="37" t="s">
        <v>151</v>
      </c>
      <c r="C51" s="42"/>
    </row>
    <row r="52" spans="1:3" ht="16">
      <c r="A52" s="37" t="s">
        <v>53</v>
      </c>
      <c r="C52" s="42"/>
    </row>
    <row r="53" spans="1:3" ht="16">
      <c r="A53" s="45"/>
      <c r="C53" s="42"/>
    </row>
    <row r="54" spans="1:3" ht="16">
      <c r="A54" s="37"/>
      <c r="C54" s="42"/>
    </row>
    <row r="55" spans="1:3" ht="15.75" customHeight="1">
      <c r="C55" s="42"/>
    </row>
    <row r="56" spans="1:3" ht="15.75" customHeight="1">
      <c r="C56" s="42"/>
    </row>
    <row r="57" spans="1:3" ht="15.75" customHeight="1">
      <c r="C57" s="42"/>
    </row>
    <row r="58" spans="1:3" ht="15.75" customHeight="1">
      <c r="C58" s="42"/>
    </row>
    <row r="59" spans="1:3" ht="15.75" customHeight="1">
      <c r="C59" s="42"/>
    </row>
    <row r="60" spans="1:3" ht="15.75" customHeight="1">
      <c r="C60" s="42"/>
    </row>
    <row r="61" spans="1:3" ht="15.75" customHeight="1">
      <c r="C61" s="42"/>
    </row>
    <row r="62" spans="1:3" ht="15.75" customHeight="1">
      <c r="C62" s="42"/>
    </row>
    <row r="63" spans="1:3" ht="15.75" customHeight="1">
      <c r="C63" s="42"/>
    </row>
    <row r="64" spans="1:3" ht="13">
      <c r="C64" s="42"/>
    </row>
    <row r="65" spans="3:3" ht="13">
      <c r="C65" s="42"/>
    </row>
    <row r="66" spans="3:3" ht="13">
      <c r="C66" s="42"/>
    </row>
    <row r="67" spans="3:3" ht="13">
      <c r="C67" s="42"/>
    </row>
    <row r="68" spans="3:3" ht="13">
      <c r="C68" s="42"/>
    </row>
    <row r="69" spans="3:3" ht="13">
      <c r="C69" s="42"/>
    </row>
    <row r="70" spans="3:3" ht="13">
      <c r="C70" s="42"/>
    </row>
    <row r="71" spans="3:3" ht="13">
      <c r="C71" s="42"/>
    </row>
    <row r="72" spans="3:3" ht="13">
      <c r="C72" s="42"/>
    </row>
    <row r="73" spans="3:3" ht="13">
      <c r="C73" s="42"/>
    </row>
    <row r="74" spans="3:3" ht="13">
      <c r="C74" s="42"/>
    </row>
    <row r="75" spans="3:3" ht="13">
      <c r="C75" s="42"/>
    </row>
    <row r="76" spans="3:3" ht="13">
      <c r="C76" s="42"/>
    </row>
    <row r="77" spans="3:3" ht="13">
      <c r="C77" s="42"/>
    </row>
    <row r="78" spans="3:3" ht="13">
      <c r="C78" s="42"/>
    </row>
    <row r="79" spans="3:3" ht="13">
      <c r="C79" s="42"/>
    </row>
    <row r="80" spans="3:3" ht="13">
      <c r="C80" s="42"/>
    </row>
    <row r="81" spans="3:3" ht="13">
      <c r="C81" s="42"/>
    </row>
    <row r="82" spans="3:3" ht="13">
      <c r="C82" s="42"/>
    </row>
    <row r="83" spans="3:3" ht="13">
      <c r="C83" s="42"/>
    </row>
    <row r="84" spans="3:3" ht="13">
      <c r="C84" s="42"/>
    </row>
    <row r="85" spans="3:3" ht="13">
      <c r="C85" s="42"/>
    </row>
    <row r="86" spans="3:3" ht="13">
      <c r="C86" s="42"/>
    </row>
    <row r="87" spans="3:3" ht="13">
      <c r="C87" s="42"/>
    </row>
    <row r="88" spans="3:3" ht="13">
      <c r="C88" s="42"/>
    </row>
    <row r="89" spans="3:3" ht="13">
      <c r="C89" s="42"/>
    </row>
    <row r="90" spans="3:3" ht="13">
      <c r="C90" s="42"/>
    </row>
    <row r="91" spans="3:3" ht="13">
      <c r="C91" s="42"/>
    </row>
    <row r="92" spans="3:3" ht="13">
      <c r="C92" s="42"/>
    </row>
    <row r="93" spans="3:3" ht="13">
      <c r="C93" s="42"/>
    </row>
    <row r="94" spans="3:3" ht="13">
      <c r="C94" s="42"/>
    </row>
    <row r="95" spans="3:3" ht="13">
      <c r="C95" s="42"/>
    </row>
    <row r="96" spans="3:3" ht="13">
      <c r="C96" s="42"/>
    </row>
    <row r="97" spans="3:3" ht="13">
      <c r="C97" s="42"/>
    </row>
    <row r="98" spans="3:3" ht="13">
      <c r="C98" s="42"/>
    </row>
    <row r="99" spans="3:3" ht="13">
      <c r="C99" s="42"/>
    </row>
    <row r="100" spans="3:3" ht="13">
      <c r="C100" s="42"/>
    </row>
    <row r="101" spans="3:3" ht="13">
      <c r="C101" s="42"/>
    </row>
    <row r="102" spans="3:3" ht="13">
      <c r="C102" s="42"/>
    </row>
    <row r="103" spans="3:3" ht="13">
      <c r="C103" s="42"/>
    </row>
    <row r="104" spans="3:3" ht="13">
      <c r="C104" s="42"/>
    </row>
    <row r="105" spans="3:3" ht="13">
      <c r="C105" s="42"/>
    </row>
    <row r="106" spans="3:3" ht="13">
      <c r="C106" s="42"/>
    </row>
    <row r="107" spans="3:3" ht="13">
      <c r="C107" s="42"/>
    </row>
    <row r="108" spans="3:3" ht="13">
      <c r="C108" s="42"/>
    </row>
    <row r="109" spans="3:3" ht="13">
      <c r="C109" s="42"/>
    </row>
    <row r="110" spans="3:3" ht="13">
      <c r="C110" s="42"/>
    </row>
    <row r="111" spans="3:3" ht="13">
      <c r="C111" s="42"/>
    </row>
    <row r="112" spans="3:3" ht="13">
      <c r="C112" s="42"/>
    </row>
    <row r="113" spans="3:3" ht="13">
      <c r="C113" s="42"/>
    </row>
    <row r="114" spans="3:3" ht="13">
      <c r="C114" s="42"/>
    </row>
    <row r="115" spans="3:3" ht="13">
      <c r="C115" s="42"/>
    </row>
    <row r="116" spans="3:3" ht="13">
      <c r="C116" s="42"/>
    </row>
    <row r="117" spans="3:3" ht="13">
      <c r="C117" s="42"/>
    </row>
    <row r="118" spans="3:3" ht="13">
      <c r="C118" s="42"/>
    </row>
    <row r="119" spans="3:3" ht="13">
      <c r="C119" s="42"/>
    </row>
    <row r="120" spans="3:3" ht="13">
      <c r="C120" s="42"/>
    </row>
    <row r="121" spans="3:3" ht="13">
      <c r="C121" s="42"/>
    </row>
    <row r="122" spans="3:3" ht="13">
      <c r="C122" s="42"/>
    </row>
    <row r="123" spans="3:3" ht="13">
      <c r="C123" s="42"/>
    </row>
    <row r="124" spans="3:3" ht="13">
      <c r="C124" s="42"/>
    </row>
    <row r="125" spans="3:3" ht="13">
      <c r="C125" s="42"/>
    </row>
    <row r="126" spans="3:3" ht="13">
      <c r="C126" s="42"/>
    </row>
    <row r="127" spans="3:3" ht="13">
      <c r="C127" s="42"/>
    </row>
    <row r="128" spans="3:3" ht="13">
      <c r="C128" s="42"/>
    </row>
    <row r="129" spans="3:3" ht="13">
      <c r="C129" s="42"/>
    </row>
    <row r="130" spans="3:3" ht="13">
      <c r="C130" s="42"/>
    </row>
    <row r="131" spans="3:3" ht="13">
      <c r="C131" s="42"/>
    </row>
    <row r="132" spans="3:3" ht="13">
      <c r="C132" s="42"/>
    </row>
    <row r="133" spans="3:3" ht="13">
      <c r="C133" s="42"/>
    </row>
    <row r="134" spans="3:3" ht="13">
      <c r="C134" s="42"/>
    </row>
    <row r="135" spans="3:3" ht="13">
      <c r="C135" s="42"/>
    </row>
    <row r="136" spans="3:3" ht="13">
      <c r="C136" s="42"/>
    </row>
    <row r="137" spans="3:3" ht="13">
      <c r="C137" s="42"/>
    </row>
    <row r="138" spans="3:3" ht="13">
      <c r="C138" s="42"/>
    </row>
    <row r="139" spans="3:3" ht="13">
      <c r="C139" s="42"/>
    </row>
    <row r="140" spans="3:3" ht="13">
      <c r="C140" s="42"/>
    </row>
    <row r="141" spans="3:3" ht="13">
      <c r="C141" s="42"/>
    </row>
    <row r="142" spans="3:3" ht="13">
      <c r="C142" s="42"/>
    </row>
    <row r="143" spans="3:3" ht="13">
      <c r="C143" s="42"/>
    </row>
    <row r="144" spans="3:3" ht="13">
      <c r="C144" s="42"/>
    </row>
    <row r="145" spans="3:3" ht="13">
      <c r="C145" s="42"/>
    </row>
    <row r="146" spans="3:3" ht="13">
      <c r="C146" s="42"/>
    </row>
    <row r="147" spans="3:3" ht="13">
      <c r="C147" s="42"/>
    </row>
    <row r="148" spans="3:3" ht="13">
      <c r="C148" s="42"/>
    </row>
    <row r="149" spans="3:3" ht="13">
      <c r="C149" s="42"/>
    </row>
    <row r="150" spans="3:3" ht="13">
      <c r="C150" s="42"/>
    </row>
    <row r="151" spans="3:3" ht="13">
      <c r="C151" s="42"/>
    </row>
    <row r="152" spans="3:3" ht="13">
      <c r="C152" s="42"/>
    </row>
    <row r="153" spans="3:3" ht="13">
      <c r="C153" s="42"/>
    </row>
    <row r="154" spans="3:3" ht="13">
      <c r="C154" s="42"/>
    </row>
    <row r="155" spans="3:3" ht="13">
      <c r="C155" s="42"/>
    </row>
    <row r="156" spans="3:3" ht="13">
      <c r="C156" s="42"/>
    </row>
    <row r="157" spans="3:3" ht="13">
      <c r="C157" s="42"/>
    </row>
    <row r="158" spans="3:3" ht="13">
      <c r="C158" s="42"/>
    </row>
    <row r="159" spans="3:3" ht="13">
      <c r="C159" s="42"/>
    </row>
    <row r="160" spans="3:3" ht="13">
      <c r="C160" s="42"/>
    </row>
    <row r="161" spans="3:3" ht="13">
      <c r="C161" s="42"/>
    </row>
    <row r="162" spans="3:3" ht="13">
      <c r="C162" s="42"/>
    </row>
    <row r="163" spans="3:3" ht="13">
      <c r="C163" s="42"/>
    </row>
    <row r="164" spans="3:3" ht="13">
      <c r="C164" s="42"/>
    </row>
    <row r="165" spans="3:3" ht="13">
      <c r="C165" s="42"/>
    </row>
    <row r="166" spans="3:3" ht="13">
      <c r="C166" s="42"/>
    </row>
    <row r="167" spans="3:3" ht="13">
      <c r="C167" s="42"/>
    </row>
    <row r="168" spans="3:3" ht="13">
      <c r="C168" s="42"/>
    </row>
    <row r="169" spans="3:3" ht="13">
      <c r="C169" s="42"/>
    </row>
    <row r="170" spans="3:3" ht="13">
      <c r="C170" s="42"/>
    </row>
    <row r="171" spans="3:3" ht="13">
      <c r="C171" s="42"/>
    </row>
    <row r="172" spans="3:3" ht="13">
      <c r="C172" s="42"/>
    </row>
    <row r="173" spans="3:3" ht="13">
      <c r="C173" s="42"/>
    </row>
    <row r="174" spans="3:3" ht="13">
      <c r="C174" s="42"/>
    </row>
    <row r="175" spans="3:3" ht="13">
      <c r="C175" s="42"/>
    </row>
    <row r="176" spans="3:3" ht="13">
      <c r="C176" s="42"/>
    </row>
    <row r="177" spans="3:3" ht="13">
      <c r="C177" s="42"/>
    </row>
    <row r="178" spans="3:3" ht="13">
      <c r="C178" s="42"/>
    </row>
    <row r="179" spans="3:3" ht="13">
      <c r="C179" s="42"/>
    </row>
    <row r="180" spans="3:3" ht="13">
      <c r="C180" s="42"/>
    </row>
    <row r="181" spans="3:3" ht="13">
      <c r="C181" s="42"/>
    </row>
    <row r="182" spans="3:3" ht="13">
      <c r="C182" s="42"/>
    </row>
    <row r="183" spans="3:3" ht="13">
      <c r="C183" s="42"/>
    </row>
    <row r="184" spans="3:3" ht="13">
      <c r="C184" s="42"/>
    </row>
    <row r="185" spans="3:3" ht="13">
      <c r="C185" s="42"/>
    </row>
    <row r="186" spans="3:3" ht="13">
      <c r="C186" s="42"/>
    </row>
    <row r="187" spans="3:3" ht="13">
      <c r="C187" s="42"/>
    </row>
    <row r="188" spans="3:3" ht="13">
      <c r="C188" s="42"/>
    </row>
    <row r="189" spans="3:3" ht="13">
      <c r="C189" s="42"/>
    </row>
    <row r="190" spans="3:3" ht="13">
      <c r="C190" s="42"/>
    </row>
    <row r="191" spans="3:3" ht="13">
      <c r="C191" s="42"/>
    </row>
    <row r="192" spans="3:3" ht="13">
      <c r="C192" s="42"/>
    </row>
    <row r="193" spans="3:3" ht="13">
      <c r="C193" s="42"/>
    </row>
    <row r="194" spans="3:3" ht="13">
      <c r="C194" s="42"/>
    </row>
    <row r="195" spans="3:3" ht="13">
      <c r="C195" s="42"/>
    </row>
    <row r="196" spans="3:3" ht="13">
      <c r="C196" s="42"/>
    </row>
    <row r="197" spans="3:3" ht="13">
      <c r="C197" s="42"/>
    </row>
    <row r="198" spans="3:3" ht="13">
      <c r="C198" s="42"/>
    </row>
    <row r="199" spans="3:3" ht="13">
      <c r="C199" s="42"/>
    </row>
    <row r="200" spans="3:3" ht="13">
      <c r="C200" s="42"/>
    </row>
    <row r="201" spans="3:3" ht="13">
      <c r="C201" s="42"/>
    </row>
    <row r="202" spans="3:3" ht="13">
      <c r="C202" s="42"/>
    </row>
    <row r="203" spans="3:3" ht="13">
      <c r="C203" s="42"/>
    </row>
    <row r="204" spans="3:3" ht="13">
      <c r="C204" s="42"/>
    </row>
    <row r="205" spans="3:3" ht="13">
      <c r="C205" s="42"/>
    </row>
    <row r="206" spans="3:3" ht="13">
      <c r="C206" s="42"/>
    </row>
    <row r="207" spans="3:3" ht="13">
      <c r="C207" s="42"/>
    </row>
    <row r="208" spans="3:3" ht="13">
      <c r="C208" s="42"/>
    </row>
    <row r="209" spans="3:3" ht="13">
      <c r="C209" s="42"/>
    </row>
    <row r="210" spans="3:3" ht="13">
      <c r="C210" s="42"/>
    </row>
    <row r="211" spans="3:3" ht="13">
      <c r="C211" s="42"/>
    </row>
    <row r="212" spans="3:3" ht="13">
      <c r="C212" s="42"/>
    </row>
    <row r="213" spans="3:3" ht="13">
      <c r="C213" s="42"/>
    </row>
    <row r="214" spans="3:3" ht="13">
      <c r="C214" s="42"/>
    </row>
    <row r="215" spans="3:3" ht="13">
      <c r="C215" s="42"/>
    </row>
    <row r="216" spans="3:3" ht="13">
      <c r="C216" s="42"/>
    </row>
    <row r="217" spans="3:3" ht="13">
      <c r="C217" s="42"/>
    </row>
    <row r="218" spans="3:3" ht="13">
      <c r="C218" s="42"/>
    </row>
    <row r="219" spans="3:3" ht="13">
      <c r="C219" s="42"/>
    </row>
    <row r="220" spans="3:3" ht="13">
      <c r="C220" s="42"/>
    </row>
    <row r="221" spans="3:3" ht="13">
      <c r="C221" s="42"/>
    </row>
    <row r="222" spans="3:3" ht="13">
      <c r="C222" s="42"/>
    </row>
    <row r="223" spans="3:3" ht="13">
      <c r="C223" s="42"/>
    </row>
    <row r="224" spans="3:3" ht="13">
      <c r="C224" s="42"/>
    </row>
    <row r="225" spans="3:3" ht="13">
      <c r="C225" s="42"/>
    </row>
    <row r="226" spans="3:3" ht="13">
      <c r="C226" s="42"/>
    </row>
    <row r="227" spans="3:3" ht="13">
      <c r="C227" s="42"/>
    </row>
    <row r="228" spans="3:3" ht="13">
      <c r="C228" s="42"/>
    </row>
    <row r="229" spans="3:3" ht="13">
      <c r="C229" s="42"/>
    </row>
    <row r="230" spans="3:3" ht="13">
      <c r="C230" s="42"/>
    </row>
    <row r="231" spans="3:3" ht="13">
      <c r="C231" s="42"/>
    </row>
    <row r="232" spans="3:3" ht="13">
      <c r="C232" s="42"/>
    </row>
    <row r="233" spans="3:3" ht="13">
      <c r="C233" s="42"/>
    </row>
    <row r="234" spans="3:3" ht="13">
      <c r="C234" s="42"/>
    </row>
    <row r="235" spans="3:3" ht="13">
      <c r="C235" s="42"/>
    </row>
    <row r="236" spans="3:3" ht="13">
      <c r="C236" s="42"/>
    </row>
    <row r="237" spans="3:3" ht="13">
      <c r="C237" s="42"/>
    </row>
    <row r="238" spans="3:3" ht="13">
      <c r="C238" s="42"/>
    </row>
    <row r="239" spans="3:3" ht="13">
      <c r="C239" s="42"/>
    </row>
    <row r="240" spans="3:3" ht="13">
      <c r="C240" s="42"/>
    </row>
    <row r="241" spans="3:3" ht="13">
      <c r="C241" s="42"/>
    </row>
    <row r="242" spans="3:3" ht="13">
      <c r="C242" s="42"/>
    </row>
    <row r="243" spans="3:3" ht="13">
      <c r="C243" s="42"/>
    </row>
    <row r="244" spans="3:3" ht="13">
      <c r="C244" s="42"/>
    </row>
    <row r="245" spans="3:3" ht="13">
      <c r="C245" s="42"/>
    </row>
    <row r="246" spans="3:3" ht="13">
      <c r="C246" s="42"/>
    </row>
    <row r="247" spans="3:3" ht="13">
      <c r="C247" s="42"/>
    </row>
    <row r="248" spans="3:3" ht="13">
      <c r="C248" s="42"/>
    </row>
    <row r="249" spans="3:3" ht="13">
      <c r="C249" s="42"/>
    </row>
    <row r="250" spans="3:3" ht="13">
      <c r="C250" s="42"/>
    </row>
    <row r="251" spans="3:3" ht="13">
      <c r="C251" s="42"/>
    </row>
    <row r="252" spans="3:3" ht="13">
      <c r="C252" s="42"/>
    </row>
    <row r="253" spans="3:3" ht="13">
      <c r="C253" s="42"/>
    </row>
    <row r="254" spans="3:3" ht="13">
      <c r="C254" s="42"/>
    </row>
    <row r="255" spans="3:3" ht="13">
      <c r="C255" s="42"/>
    </row>
    <row r="256" spans="3:3" ht="13">
      <c r="C256" s="42"/>
    </row>
    <row r="257" spans="3:3" ht="13">
      <c r="C257" s="42"/>
    </row>
    <row r="258" spans="3:3" ht="13">
      <c r="C258" s="42"/>
    </row>
    <row r="259" spans="3:3" ht="13">
      <c r="C259" s="42"/>
    </row>
    <row r="260" spans="3:3" ht="13">
      <c r="C260" s="42"/>
    </row>
    <row r="261" spans="3:3" ht="13">
      <c r="C261" s="42"/>
    </row>
    <row r="262" spans="3:3" ht="13">
      <c r="C262" s="42"/>
    </row>
    <row r="263" spans="3:3" ht="13">
      <c r="C263" s="42"/>
    </row>
    <row r="264" spans="3:3" ht="13">
      <c r="C264" s="42"/>
    </row>
    <row r="265" spans="3:3" ht="13">
      <c r="C265" s="42"/>
    </row>
    <row r="266" spans="3:3" ht="13">
      <c r="C266" s="42"/>
    </row>
    <row r="267" spans="3:3" ht="13">
      <c r="C267" s="42"/>
    </row>
    <row r="268" spans="3:3" ht="13">
      <c r="C268" s="42"/>
    </row>
    <row r="269" spans="3:3" ht="13">
      <c r="C269" s="42"/>
    </row>
    <row r="270" spans="3:3" ht="13">
      <c r="C270" s="42"/>
    </row>
    <row r="271" spans="3:3" ht="13">
      <c r="C271" s="42"/>
    </row>
    <row r="272" spans="3:3" ht="13">
      <c r="C272" s="42"/>
    </row>
    <row r="273" spans="3:3" ht="13">
      <c r="C273" s="42"/>
    </row>
    <row r="274" spans="3:3" ht="13">
      <c r="C274" s="42"/>
    </row>
    <row r="275" spans="3:3" ht="13">
      <c r="C275" s="42"/>
    </row>
    <row r="276" spans="3:3" ht="13">
      <c r="C276" s="42"/>
    </row>
    <row r="277" spans="3:3" ht="13">
      <c r="C277" s="42"/>
    </row>
    <row r="278" spans="3:3" ht="13">
      <c r="C278" s="42"/>
    </row>
    <row r="279" spans="3:3" ht="13">
      <c r="C279" s="42"/>
    </row>
    <row r="280" spans="3:3" ht="13">
      <c r="C280" s="42"/>
    </row>
    <row r="281" spans="3:3" ht="13">
      <c r="C281" s="42"/>
    </row>
    <row r="282" spans="3:3" ht="13">
      <c r="C282" s="42"/>
    </row>
    <row r="283" spans="3:3" ht="13">
      <c r="C283" s="42"/>
    </row>
    <row r="284" spans="3:3" ht="13">
      <c r="C284" s="42"/>
    </row>
    <row r="285" spans="3:3" ht="13">
      <c r="C285" s="42"/>
    </row>
    <row r="286" spans="3:3" ht="13">
      <c r="C286" s="42"/>
    </row>
    <row r="287" spans="3:3" ht="13">
      <c r="C287" s="42"/>
    </row>
    <row r="288" spans="3:3" ht="13">
      <c r="C288" s="42"/>
    </row>
    <row r="289" spans="3:3" ht="13">
      <c r="C289" s="42"/>
    </row>
    <row r="290" spans="3:3" ht="13">
      <c r="C290" s="42"/>
    </row>
    <row r="291" spans="3:3" ht="13">
      <c r="C291" s="42"/>
    </row>
    <row r="292" spans="3:3" ht="13">
      <c r="C292" s="42"/>
    </row>
    <row r="293" spans="3:3" ht="13">
      <c r="C293" s="42"/>
    </row>
    <row r="294" spans="3:3" ht="13">
      <c r="C294" s="42"/>
    </row>
    <row r="295" spans="3:3" ht="13">
      <c r="C295" s="42"/>
    </row>
    <row r="296" spans="3:3" ht="13">
      <c r="C296" s="42"/>
    </row>
    <row r="297" spans="3:3" ht="13">
      <c r="C297" s="42"/>
    </row>
    <row r="298" spans="3:3" ht="13">
      <c r="C298" s="42"/>
    </row>
    <row r="299" spans="3:3" ht="13">
      <c r="C299" s="42"/>
    </row>
    <row r="300" spans="3:3" ht="13">
      <c r="C300" s="42"/>
    </row>
    <row r="301" spans="3:3" ht="13">
      <c r="C301" s="42"/>
    </row>
    <row r="302" spans="3:3" ht="13">
      <c r="C302" s="42"/>
    </row>
    <row r="303" spans="3:3" ht="13">
      <c r="C303" s="42"/>
    </row>
    <row r="304" spans="3:3" ht="13">
      <c r="C304" s="42"/>
    </row>
    <row r="305" spans="3:3" ht="13">
      <c r="C305" s="42"/>
    </row>
    <row r="306" spans="3:3" ht="13">
      <c r="C306" s="42"/>
    </row>
    <row r="307" spans="3:3" ht="13">
      <c r="C307" s="42"/>
    </row>
    <row r="308" spans="3:3" ht="13">
      <c r="C308" s="42"/>
    </row>
    <row r="309" spans="3:3" ht="13">
      <c r="C309" s="42"/>
    </row>
    <row r="310" spans="3:3" ht="13">
      <c r="C310" s="42"/>
    </row>
    <row r="311" spans="3:3" ht="13">
      <c r="C311" s="42"/>
    </row>
    <row r="312" spans="3:3" ht="13">
      <c r="C312" s="42"/>
    </row>
    <row r="313" spans="3:3" ht="13">
      <c r="C313" s="42"/>
    </row>
    <row r="314" spans="3:3" ht="13">
      <c r="C314" s="42"/>
    </row>
    <row r="315" spans="3:3" ht="13">
      <c r="C315" s="42"/>
    </row>
    <row r="316" spans="3:3" ht="13">
      <c r="C316" s="42"/>
    </row>
    <row r="317" spans="3:3" ht="13">
      <c r="C317" s="42"/>
    </row>
    <row r="318" spans="3:3" ht="13">
      <c r="C318" s="42"/>
    </row>
    <row r="319" spans="3:3" ht="13">
      <c r="C319" s="42"/>
    </row>
    <row r="320" spans="3:3" ht="13">
      <c r="C320" s="42"/>
    </row>
    <row r="321" spans="3:3" ht="13">
      <c r="C321" s="42"/>
    </row>
    <row r="322" spans="3:3" ht="13">
      <c r="C322" s="42"/>
    </row>
    <row r="323" spans="3:3" ht="13">
      <c r="C323" s="42"/>
    </row>
    <row r="324" spans="3:3" ht="13">
      <c r="C324" s="42"/>
    </row>
    <row r="325" spans="3:3" ht="13">
      <c r="C325" s="42"/>
    </row>
    <row r="326" spans="3:3" ht="13">
      <c r="C326" s="42"/>
    </row>
    <row r="327" spans="3:3" ht="13">
      <c r="C327" s="42"/>
    </row>
    <row r="328" spans="3:3" ht="13">
      <c r="C328" s="42"/>
    </row>
    <row r="329" spans="3:3" ht="13">
      <c r="C329" s="42"/>
    </row>
    <row r="330" spans="3:3" ht="13">
      <c r="C330" s="42"/>
    </row>
    <row r="331" spans="3:3" ht="13">
      <c r="C331" s="42"/>
    </row>
    <row r="332" spans="3:3" ht="13">
      <c r="C332" s="42"/>
    </row>
    <row r="333" spans="3:3" ht="13">
      <c r="C333" s="42"/>
    </row>
    <row r="334" spans="3:3" ht="13">
      <c r="C334" s="42"/>
    </row>
    <row r="335" spans="3:3" ht="13">
      <c r="C335" s="42"/>
    </row>
    <row r="336" spans="3:3" ht="13">
      <c r="C336" s="42"/>
    </row>
    <row r="337" spans="3:3" ht="13">
      <c r="C337" s="42"/>
    </row>
    <row r="338" spans="3:3" ht="13">
      <c r="C338" s="42"/>
    </row>
    <row r="339" spans="3:3" ht="13">
      <c r="C339" s="42"/>
    </row>
    <row r="340" spans="3:3" ht="13">
      <c r="C340" s="42"/>
    </row>
    <row r="341" spans="3:3" ht="13">
      <c r="C341" s="42"/>
    </row>
    <row r="342" spans="3:3" ht="13">
      <c r="C342" s="42"/>
    </row>
    <row r="343" spans="3:3" ht="13">
      <c r="C343" s="42"/>
    </row>
    <row r="344" spans="3:3" ht="13">
      <c r="C344" s="42"/>
    </row>
    <row r="345" spans="3:3" ht="13">
      <c r="C345" s="42"/>
    </row>
    <row r="346" spans="3:3" ht="13">
      <c r="C346" s="42"/>
    </row>
    <row r="347" spans="3:3" ht="13">
      <c r="C347" s="42"/>
    </row>
    <row r="348" spans="3:3" ht="13">
      <c r="C348" s="42"/>
    </row>
    <row r="349" spans="3:3" ht="13">
      <c r="C349" s="42"/>
    </row>
    <row r="350" spans="3:3" ht="13">
      <c r="C350" s="42"/>
    </row>
    <row r="351" spans="3:3" ht="13">
      <c r="C351" s="42"/>
    </row>
    <row r="352" spans="3:3" ht="13">
      <c r="C352" s="42"/>
    </row>
    <row r="353" spans="3:3" ht="13">
      <c r="C353" s="42"/>
    </row>
    <row r="354" spans="3:3" ht="13">
      <c r="C354" s="42"/>
    </row>
    <row r="355" spans="3:3" ht="13">
      <c r="C355" s="42"/>
    </row>
    <row r="356" spans="3:3" ht="13">
      <c r="C356" s="42"/>
    </row>
    <row r="357" spans="3:3" ht="13">
      <c r="C357" s="42"/>
    </row>
    <row r="358" spans="3:3" ht="13">
      <c r="C358" s="42"/>
    </row>
    <row r="359" spans="3:3" ht="13">
      <c r="C359" s="42"/>
    </row>
    <row r="360" spans="3:3" ht="13">
      <c r="C360" s="42"/>
    </row>
    <row r="361" spans="3:3" ht="13">
      <c r="C361" s="42"/>
    </row>
    <row r="362" spans="3:3" ht="13">
      <c r="C362" s="42"/>
    </row>
    <row r="363" spans="3:3" ht="13">
      <c r="C363" s="42"/>
    </row>
    <row r="364" spans="3:3" ht="13">
      <c r="C364" s="42"/>
    </row>
    <row r="365" spans="3:3" ht="13">
      <c r="C365" s="42"/>
    </row>
    <row r="366" spans="3:3" ht="13">
      <c r="C366" s="42"/>
    </row>
    <row r="367" spans="3:3" ht="13">
      <c r="C367" s="42"/>
    </row>
    <row r="368" spans="3:3" ht="13">
      <c r="C368" s="42"/>
    </row>
    <row r="369" spans="3:3" ht="13">
      <c r="C369" s="42"/>
    </row>
    <row r="370" spans="3:3" ht="13">
      <c r="C370" s="42"/>
    </row>
    <row r="371" spans="3:3" ht="13">
      <c r="C371" s="42"/>
    </row>
    <row r="372" spans="3:3" ht="13">
      <c r="C372" s="42"/>
    </row>
    <row r="373" spans="3:3" ht="13">
      <c r="C373" s="42"/>
    </row>
    <row r="374" spans="3:3" ht="13">
      <c r="C374" s="42"/>
    </row>
    <row r="375" spans="3:3" ht="13">
      <c r="C375" s="42"/>
    </row>
    <row r="376" spans="3:3" ht="13">
      <c r="C376" s="42"/>
    </row>
    <row r="377" spans="3:3" ht="13">
      <c r="C377" s="42"/>
    </row>
    <row r="378" spans="3:3" ht="13">
      <c r="C378" s="42"/>
    </row>
    <row r="379" spans="3:3" ht="13">
      <c r="C379" s="42"/>
    </row>
    <row r="380" spans="3:3" ht="13">
      <c r="C380" s="42"/>
    </row>
    <row r="381" spans="3:3" ht="13">
      <c r="C381" s="42"/>
    </row>
    <row r="382" spans="3:3" ht="13">
      <c r="C382" s="42"/>
    </row>
    <row r="383" spans="3:3" ht="13">
      <c r="C383" s="42"/>
    </row>
    <row r="384" spans="3:3" ht="13">
      <c r="C384" s="42"/>
    </row>
    <row r="385" spans="3:3" ht="13">
      <c r="C385" s="42"/>
    </row>
    <row r="386" spans="3:3" ht="13">
      <c r="C386" s="42"/>
    </row>
    <row r="387" spans="3:3" ht="13">
      <c r="C387" s="42"/>
    </row>
    <row r="388" spans="3:3" ht="13">
      <c r="C388" s="42"/>
    </row>
    <row r="389" spans="3:3" ht="13">
      <c r="C389" s="42"/>
    </row>
    <row r="390" spans="3:3" ht="13">
      <c r="C390" s="42"/>
    </row>
    <row r="391" spans="3:3" ht="13">
      <c r="C391" s="42"/>
    </row>
    <row r="392" spans="3:3" ht="13">
      <c r="C392" s="42"/>
    </row>
    <row r="393" spans="3:3" ht="13">
      <c r="C393" s="42"/>
    </row>
    <row r="394" spans="3:3" ht="13">
      <c r="C394" s="42"/>
    </row>
    <row r="395" spans="3:3" ht="13">
      <c r="C395" s="42"/>
    </row>
    <row r="396" spans="3:3" ht="13">
      <c r="C396" s="42"/>
    </row>
    <row r="397" spans="3:3" ht="13">
      <c r="C397" s="42"/>
    </row>
    <row r="398" spans="3:3" ht="13">
      <c r="C398" s="42"/>
    </row>
    <row r="399" spans="3:3" ht="13">
      <c r="C399" s="42"/>
    </row>
    <row r="400" spans="3:3" ht="13">
      <c r="C400" s="42"/>
    </row>
    <row r="401" spans="3:3" ht="13">
      <c r="C401" s="42"/>
    </row>
    <row r="402" spans="3:3" ht="13">
      <c r="C402" s="42"/>
    </row>
    <row r="403" spans="3:3" ht="13">
      <c r="C403" s="42"/>
    </row>
    <row r="404" spans="3:3" ht="13">
      <c r="C404" s="42"/>
    </row>
    <row r="405" spans="3:3" ht="13">
      <c r="C405" s="42"/>
    </row>
    <row r="406" spans="3:3" ht="13">
      <c r="C406" s="42"/>
    </row>
    <row r="407" spans="3:3" ht="13">
      <c r="C407" s="42"/>
    </row>
    <row r="408" spans="3:3" ht="13">
      <c r="C408" s="42"/>
    </row>
    <row r="409" spans="3:3" ht="13">
      <c r="C409" s="42"/>
    </row>
    <row r="410" spans="3:3" ht="13">
      <c r="C410" s="42"/>
    </row>
    <row r="411" spans="3:3" ht="13">
      <c r="C411" s="42"/>
    </row>
    <row r="412" spans="3:3" ht="13">
      <c r="C412" s="42"/>
    </row>
    <row r="413" spans="3:3" ht="13">
      <c r="C413" s="42"/>
    </row>
    <row r="414" spans="3:3" ht="13">
      <c r="C414" s="42"/>
    </row>
    <row r="415" spans="3:3" ht="13">
      <c r="C415" s="42"/>
    </row>
    <row r="416" spans="3:3" ht="13">
      <c r="C416" s="42"/>
    </row>
    <row r="417" spans="3:3" ht="13">
      <c r="C417" s="42"/>
    </row>
    <row r="418" spans="3:3" ht="13">
      <c r="C418" s="42"/>
    </row>
    <row r="419" spans="3:3" ht="13">
      <c r="C419" s="42"/>
    </row>
    <row r="420" spans="3:3" ht="13">
      <c r="C420" s="42"/>
    </row>
    <row r="421" spans="3:3" ht="13">
      <c r="C421" s="42"/>
    </row>
    <row r="422" spans="3:3" ht="13">
      <c r="C422" s="42"/>
    </row>
    <row r="423" spans="3:3" ht="13">
      <c r="C423" s="42"/>
    </row>
    <row r="424" spans="3:3" ht="13">
      <c r="C424" s="42"/>
    </row>
    <row r="425" spans="3:3" ht="13">
      <c r="C425" s="42"/>
    </row>
    <row r="426" spans="3:3" ht="13">
      <c r="C426" s="42"/>
    </row>
    <row r="427" spans="3:3" ht="13">
      <c r="C427" s="42"/>
    </row>
    <row r="428" spans="3:3" ht="13">
      <c r="C428" s="42"/>
    </row>
    <row r="429" spans="3:3" ht="13">
      <c r="C429" s="42"/>
    </row>
    <row r="430" spans="3:3" ht="13">
      <c r="C430" s="42"/>
    </row>
    <row r="431" spans="3:3" ht="13">
      <c r="C431" s="42"/>
    </row>
    <row r="432" spans="3:3" ht="13">
      <c r="C432" s="42"/>
    </row>
    <row r="433" spans="3:3" ht="13">
      <c r="C433" s="42"/>
    </row>
    <row r="434" spans="3:3" ht="13">
      <c r="C434" s="42"/>
    </row>
    <row r="435" spans="3:3" ht="13">
      <c r="C435" s="42"/>
    </row>
    <row r="436" spans="3:3" ht="13">
      <c r="C436" s="42"/>
    </row>
    <row r="437" spans="3:3" ht="13">
      <c r="C437" s="42"/>
    </row>
    <row r="438" spans="3:3" ht="13">
      <c r="C438" s="42"/>
    </row>
    <row r="439" spans="3:3" ht="13">
      <c r="C439" s="42"/>
    </row>
    <row r="440" spans="3:3" ht="13">
      <c r="C440" s="42"/>
    </row>
    <row r="441" spans="3:3" ht="13">
      <c r="C441" s="42"/>
    </row>
    <row r="442" spans="3:3" ht="13">
      <c r="C442" s="42"/>
    </row>
    <row r="443" spans="3:3" ht="13">
      <c r="C443" s="42"/>
    </row>
    <row r="444" spans="3:3" ht="13">
      <c r="C444" s="42"/>
    </row>
    <row r="445" spans="3:3" ht="13">
      <c r="C445" s="42"/>
    </row>
    <row r="446" spans="3:3" ht="13">
      <c r="C446" s="42"/>
    </row>
    <row r="447" spans="3:3" ht="13">
      <c r="C447" s="42"/>
    </row>
    <row r="448" spans="3:3" ht="13">
      <c r="C448" s="42"/>
    </row>
    <row r="449" spans="3:3" ht="13">
      <c r="C449" s="42"/>
    </row>
    <row r="450" spans="3:3" ht="13">
      <c r="C450" s="42"/>
    </row>
    <row r="451" spans="3:3" ht="13">
      <c r="C451" s="42"/>
    </row>
    <row r="452" spans="3:3" ht="13">
      <c r="C452" s="42"/>
    </row>
    <row r="453" spans="3:3" ht="13">
      <c r="C453" s="42"/>
    </row>
    <row r="454" spans="3:3" ht="13">
      <c r="C454" s="42"/>
    </row>
    <row r="455" spans="3:3" ht="13">
      <c r="C455" s="42"/>
    </row>
    <row r="456" spans="3:3" ht="13">
      <c r="C456" s="42"/>
    </row>
    <row r="457" spans="3:3" ht="13">
      <c r="C457" s="42"/>
    </row>
    <row r="458" spans="3:3" ht="13">
      <c r="C458" s="42"/>
    </row>
    <row r="459" spans="3:3" ht="13">
      <c r="C459" s="42"/>
    </row>
    <row r="460" spans="3:3" ht="13">
      <c r="C460" s="42"/>
    </row>
    <row r="461" spans="3:3" ht="13">
      <c r="C461" s="42"/>
    </row>
    <row r="462" spans="3:3" ht="13">
      <c r="C462" s="42"/>
    </row>
    <row r="463" spans="3:3" ht="13">
      <c r="C463" s="42"/>
    </row>
    <row r="464" spans="3:3" ht="13">
      <c r="C464" s="42"/>
    </row>
    <row r="465" spans="3:3" ht="13">
      <c r="C465" s="42"/>
    </row>
    <row r="466" spans="3:3" ht="13">
      <c r="C466" s="42"/>
    </row>
    <row r="467" spans="3:3" ht="13">
      <c r="C467" s="42"/>
    </row>
    <row r="468" spans="3:3" ht="13">
      <c r="C468" s="42"/>
    </row>
    <row r="469" spans="3:3" ht="13">
      <c r="C469" s="42"/>
    </row>
    <row r="470" spans="3:3" ht="13">
      <c r="C470" s="42"/>
    </row>
    <row r="471" spans="3:3" ht="13">
      <c r="C471" s="42"/>
    </row>
    <row r="472" spans="3:3" ht="13">
      <c r="C472" s="42"/>
    </row>
    <row r="473" spans="3:3" ht="13">
      <c r="C473" s="42"/>
    </row>
    <row r="474" spans="3:3" ht="13">
      <c r="C474" s="42"/>
    </row>
    <row r="475" spans="3:3" ht="13">
      <c r="C475" s="42"/>
    </row>
    <row r="476" spans="3:3" ht="13">
      <c r="C476" s="42"/>
    </row>
    <row r="477" spans="3:3" ht="13">
      <c r="C477" s="42"/>
    </row>
    <row r="478" spans="3:3" ht="13">
      <c r="C478" s="42"/>
    </row>
    <row r="479" spans="3:3" ht="13">
      <c r="C479" s="42"/>
    </row>
    <row r="480" spans="3:3" ht="13">
      <c r="C480" s="42"/>
    </row>
    <row r="481" spans="3:3" ht="13">
      <c r="C481" s="42"/>
    </row>
    <row r="482" spans="3:3" ht="13">
      <c r="C482" s="42"/>
    </row>
    <row r="483" spans="3:3" ht="13">
      <c r="C483" s="42"/>
    </row>
    <row r="484" spans="3:3" ht="13">
      <c r="C484" s="42"/>
    </row>
    <row r="485" spans="3:3" ht="13">
      <c r="C485" s="42"/>
    </row>
    <row r="486" spans="3:3" ht="13">
      <c r="C486" s="42"/>
    </row>
    <row r="487" spans="3:3" ht="13">
      <c r="C487" s="42"/>
    </row>
    <row r="488" spans="3:3" ht="13">
      <c r="C488" s="42"/>
    </row>
    <row r="489" spans="3:3" ht="13">
      <c r="C489" s="42"/>
    </row>
    <row r="490" spans="3:3" ht="13">
      <c r="C490" s="42"/>
    </row>
    <row r="491" spans="3:3" ht="13">
      <c r="C491" s="42"/>
    </row>
    <row r="492" spans="3:3" ht="13">
      <c r="C492" s="42"/>
    </row>
    <row r="493" spans="3:3" ht="13">
      <c r="C493" s="42"/>
    </row>
    <row r="494" spans="3:3" ht="13">
      <c r="C494" s="42"/>
    </row>
    <row r="495" spans="3:3" ht="13">
      <c r="C495" s="42"/>
    </row>
    <row r="496" spans="3:3" ht="13">
      <c r="C496" s="42"/>
    </row>
    <row r="497" spans="3:3" ht="13">
      <c r="C497" s="42"/>
    </row>
    <row r="498" spans="3:3" ht="13">
      <c r="C498" s="42"/>
    </row>
    <row r="499" spans="3:3" ht="13">
      <c r="C499" s="42"/>
    </row>
    <row r="500" spans="3:3" ht="13">
      <c r="C500" s="42"/>
    </row>
    <row r="501" spans="3:3" ht="13">
      <c r="C501" s="42"/>
    </row>
    <row r="502" spans="3:3" ht="13">
      <c r="C502" s="42"/>
    </row>
    <row r="503" spans="3:3" ht="13">
      <c r="C503" s="42"/>
    </row>
    <row r="504" spans="3:3" ht="13">
      <c r="C504" s="42"/>
    </row>
    <row r="505" spans="3:3" ht="13">
      <c r="C505" s="42"/>
    </row>
    <row r="506" spans="3:3" ht="13">
      <c r="C506" s="42"/>
    </row>
    <row r="507" spans="3:3" ht="13">
      <c r="C507" s="42"/>
    </row>
    <row r="508" spans="3:3" ht="13">
      <c r="C508" s="42"/>
    </row>
    <row r="509" spans="3:3" ht="13">
      <c r="C509" s="42"/>
    </row>
    <row r="510" spans="3:3" ht="13">
      <c r="C510" s="42"/>
    </row>
    <row r="511" spans="3:3" ht="13">
      <c r="C511" s="42"/>
    </row>
    <row r="512" spans="3:3" ht="13">
      <c r="C512" s="42"/>
    </row>
    <row r="513" spans="3:3" ht="13">
      <c r="C513" s="42"/>
    </row>
    <row r="514" spans="3:3" ht="13">
      <c r="C514" s="42"/>
    </row>
    <row r="515" spans="3:3" ht="13">
      <c r="C515" s="42"/>
    </row>
    <row r="516" spans="3:3" ht="13">
      <c r="C516" s="42"/>
    </row>
    <row r="517" spans="3:3" ht="13">
      <c r="C517" s="42"/>
    </row>
    <row r="518" spans="3:3" ht="13">
      <c r="C518" s="42"/>
    </row>
    <row r="519" spans="3:3" ht="13">
      <c r="C519" s="42"/>
    </row>
    <row r="520" spans="3:3" ht="13">
      <c r="C520" s="42"/>
    </row>
    <row r="521" spans="3:3" ht="13">
      <c r="C521" s="42"/>
    </row>
    <row r="522" spans="3:3" ht="13">
      <c r="C522" s="42"/>
    </row>
    <row r="523" spans="3:3" ht="13">
      <c r="C523" s="42"/>
    </row>
    <row r="524" spans="3:3" ht="13">
      <c r="C524" s="42"/>
    </row>
    <row r="525" spans="3:3" ht="13">
      <c r="C525" s="42"/>
    </row>
    <row r="526" spans="3:3" ht="13">
      <c r="C526" s="42"/>
    </row>
    <row r="527" spans="3:3" ht="13">
      <c r="C527" s="42"/>
    </row>
    <row r="528" spans="3:3" ht="13">
      <c r="C528" s="42"/>
    </row>
    <row r="529" spans="3:3" ht="13">
      <c r="C529" s="42"/>
    </row>
    <row r="530" spans="3:3" ht="13">
      <c r="C530" s="42"/>
    </row>
    <row r="531" spans="3:3" ht="13">
      <c r="C531" s="42"/>
    </row>
    <row r="532" spans="3:3" ht="13">
      <c r="C532" s="42"/>
    </row>
    <row r="533" spans="3:3" ht="13">
      <c r="C533" s="42"/>
    </row>
    <row r="534" spans="3:3" ht="13">
      <c r="C534" s="42"/>
    </row>
    <row r="535" spans="3:3" ht="13">
      <c r="C535" s="42"/>
    </row>
    <row r="536" spans="3:3" ht="13">
      <c r="C536" s="42"/>
    </row>
    <row r="537" spans="3:3" ht="13">
      <c r="C537" s="42"/>
    </row>
    <row r="538" spans="3:3" ht="13">
      <c r="C538" s="42"/>
    </row>
    <row r="539" spans="3:3" ht="13">
      <c r="C539" s="42"/>
    </row>
    <row r="540" spans="3:3" ht="13">
      <c r="C540" s="42"/>
    </row>
    <row r="541" spans="3:3" ht="13">
      <c r="C541" s="42"/>
    </row>
    <row r="542" spans="3:3" ht="13">
      <c r="C542" s="42"/>
    </row>
    <row r="543" spans="3:3" ht="13">
      <c r="C543" s="42"/>
    </row>
    <row r="544" spans="3:3" ht="13">
      <c r="C544" s="42"/>
    </row>
    <row r="545" spans="3:3" ht="13">
      <c r="C545" s="42"/>
    </row>
    <row r="546" spans="3:3" ht="13">
      <c r="C546" s="42"/>
    </row>
    <row r="547" spans="3:3" ht="13">
      <c r="C547" s="42"/>
    </row>
    <row r="548" spans="3:3" ht="13">
      <c r="C548" s="42"/>
    </row>
    <row r="549" spans="3:3" ht="13">
      <c r="C549" s="42"/>
    </row>
    <row r="550" spans="3:3" ht="13">
      <c r="C550" s="42"/>
    </row>
    <row r="551" spans="3:3" ht="13">
      <c r="C551" s="42"/>
    </row>
    <row r="552" spans="3:3" ht="13">
      <c r="C552" s="42"/>
    </row>
    <row r="553" spans="3:3" ht="13">
      <c r="C553" s="42"/>
    </row>
    <row r="554" spans="3:3" ht="13">
      <c r="C554" s="42"/>
    </row>
    <row r="555" spans="3:3" ht="13">
      <c r="C555" s="42"/>
    </row>
    <row r="556" spans="3:3" ht="13">
      <c r="C556" s="42"/>
    </row>
    <row r="557" spans="3:3" ht="13">
      <c r="C557" s="42"/>
    </row>
    <row r="558" spans="3:3" ht="13">
      <c r="C558" s="42"/>
    </row>
    <row r="559" spans="3:3" ht="13">
      <c r="C559" s="42"/>
    </row>
    <row r="560" spans="3:3" ht="13">
      <c r="C560" s="42"/>
    </row>
    <row r="561" spans="3:3" ht="13">
      <c r="C561" s="42"/>
    </row>
    <row r="562" spans="3:3" ht="13">
      <c r="C562" s="42"/>
    </row>
    <row r="563" spans="3:3" ht="13">
      <c r="C563" s="42"/>
    </row>
    <row r="564" spans="3:3" ht="13">
      <c r="C564" s="42"/>
    </row>
    <row r="565" spans="3:3" ht="13">
      <c r="C565" s="42"/>
    </row>
    <row r="566" spans="3:3" ht="13">
      <c r="C566" s="42"/>
    </row>
    <row r="567" spans="3:3" ht="13">
      <c r="C567" s="42"/>
    </row>
    <row r="568" spans="3:3" ht="13">
      <c r="C568" s="42"/>
    </row>
    <row r="569" spans="3:3" ht="13">
      <c r="C569" s="42"/>
    </row>
    <row r="570" spans="3:3" ht="13">
      <c r="C570" s="42"/>
    </row>
    <row r="571" spans="3:3" ht="13">
      <c r="C571" s="42"/>
    </row>
    <row r="572" spans="3:3" ht="13">
      <c r="C572" s="42"/>
    </row>
    <row r="573" spans="3:3" ht="13">
      <c r="C573" s="42"/>
    </row>
    <row r="574" spans="3:3" ht="13">
      <c r="C574" s="42"/>
    </row>
    <row r="575" spans="3:3" ht="13">
      <c r="C575" s="42"/>
    </row>
    <row r="576" spans="3:3" ht="13">
      <c r="C576" s="42"/>
    </row>
    <row r="577" spans="3:3" ht="13">
      <c r="C577" s="42"/>
    </row>
    <row r="578" spans="3:3" ht="13">
      <c r="C578" s="42"/>
    </row>
    <row r="579" spans="3:3" ht="13">
      <c r="C579" s="42"/>
    </row>
    <row r="580" spans="3:3" ht="13">
      <c r="C580" s="42"/>
    </row>
    <row r="581" spans="3:3" ht="13">
      <c r="C581" s="42"/>
    </row>
    <row r="582" spans="3:3" ht="13">
      <c r="C582" s="42"/>
    </row>
    <row r="583" spans="3:3" ht="13">
      <c r="C583" s="42"/>
    </row>
    <row r="584" spans="3:3" ht="13">
      <c r="C584" s="42"/>
    </row>
    <row r="585" spans="3:3" ht="13">
      <c r="C585" s="42"/>
    </row>
    <row r="586" spans="3:3" ht="13">
      <c r="C586" s="42"/>
    </row>
    <row r="587" spans="3:3" ht="13">
      <c r="C587" s="42"/>
    </row>
    <row r="588" spans="3:3" ht="13">
      <c r="C588" s="42"/>
    </row>
    <row r="589" spans="3:3" ht="13">
      <c r="C589" s="42"/>
    </row>
    <row r="590" spans="3:3" ht="13">
      <c r="C590" s="42"/>
    </row>
    <row r="591" spans="3:3" ht="13">
      <c r="C591" s="42"/>
    </row>
    <row r="592" spans="3:3" ht="13">
      <c r="C592" s="42"/>
    </row>
    <row r="593" spans="3:3" ht="13">
      <c r="C593" s="42"/>
    </row>
    <row r="594" spans="3:3" ht="13">
      <c r="C594" s="42"/>
    </row>
    <row r="595" spans="3:3" ht="13">
      <c r="C595" s="42"/>
    </row>
    <row r="596" spans="3:3" ht="13">
      <c r="C596" s="42"/>
    </row>
    <row r="597" spans="3:3" ht="13">
      <c r="C597" s="42"/>
    </row>
    <row r="598" spans="3:3" ht="13">
      <c r="C598" s="42"/>
    </row>
    <row r="599" spans="3:3" ht="13">
      <c r="C599" s="42"/>
    </row>
    <row r="600" spans="3:3" ht="13">
      <c r="C600" s="42"/>
    </row>
    <row r="601" spans="3:3" ht="13">
      <c r="C601" s="42"/>
    </row>
    <row r="602" spans="3:3" ht="13">
      <c r="C602" s="42"/>
    </row>
    <row r="603" spans="3:3" ht="13">
      <c r="C603" s="42"/>
    </row>
    <row r="604" spans="3:3" ht="13">
      <c r="C604" s="42"/>
    </row>
    <row r="605" spans="3:3" ht="13">
      <c r="C605" s="42"/>
    </row>
    <row r="606" spans="3:3" ht="13">
      <c r="C606" s="42"/>
    </row>
    <row r="607" spans="3:3" ht="13">
      <c r="C607" s="42"/>
    </row>
    <row r="608" spans="3:3" ht="13">
      <c r="C608" s="42"/>
    </row>
    <row r="609" spans="3:3" ht="13">
      <c r="C609" s="42"/>
    </row>
    <row r="610" spans="3:3" ht="13">
      <c r="C610" s="42"/>
    </row>
    <row r="611" spans="3:3" ht="13">
      <c r="C611" s="42"/>
    </row>
    <row r="612" spans="3:3" ht="13">
      <c r="C612" s="42"/>
    </row>
    <row r="613" spans="3:3" ht="13">
      <c r="C613" s="42"/>
    </row>
    <row r="614" spans="3:3" ht="13">
      <c r="C614" s="42"/>
    </row>
    <row r="615" spans="3:3" ht="13">
      <c r="C615" s="42"/>
    </row>
    <row r="616" spans="3:3" ht="13">
      <c r="C616" s="42"/>
    </row>
    <row r="617" spans="3:3" ht="13">
      <c r="C617" s="42"/>
    </row>
    <row r="618" spans="3:3" ht="13">
      <c r="C618" s="42"/>
    </row>
    <row r="619" spans="3:3" ht="13">
      <c r="C619" s="42"/>
    </row>
    <row r="620" spans="3:3" ht="13">
      <c r="C620" s="42"/>
    </row>
    <row r="621" spans="3:3" ht="13">
      <c r="C621" s="42"/>
    </row>
    <row r="622" spans="3:3" ht="13">
      <c r="C622" s="42"/>
    </row>
    <row r="623" spans="3:3" ht="13">
      <c r="C623" s="42"/>
    </row>
    <row r="624" spans="3:3" ht="13">
      <c r="C624" s="42"/>
    </row>
    <row r="625" spans="3:3" ht="13">
      <c r="C625" s="42"/>
    </row>
    <row r="626" spans="3:3" ht="13">
      <c r="C626" s="42"/>
    </row>
    <row r="627" spans="3:3" ht="13">
      <c r="C627" s="42"/>
    </row>
    <row r="628" spans="3:3" ht="13">
      <c r="C628" s="42"/>
    </row>
    <row r="629" spans="3:3" ht="13">
      <c r="C629" s="42"/>
    </row>
    <row r="630" spans="3:3" ht="13">
      <c r="C630" s="42"/>
    </row>
    <row r="631" spans="3:3" ht="13">
      <c r="C631" s="42"/>
    </row>
    <row r="632" spans="3:3" ht="13">
      <c r="C632" s="42"/>
    </row>
    <row r="633" spans="3:3" ht="13">
      <c r="C633" s="42"/>
    </row>
    <row r="634" spans="3:3" ht="13">
      <c r="C634" s="42"/>
    </row>
    <row r="635" spans="3:3" ht="13">
      <c r="C635" s="42"/>
    </row>
    <row r="636" spans="3:3" ht="13">
      <c r="C636" s="42"/>
    </row>
    <row r="637" spans="3:3" ht="13">
      <c r="C637" s="42"/>
    </row>
    <row r="638" spans="3:3" ht="13">
      <c r="C638" s="42"/>
    </row>
    <row r="639" spans="3:3" ht="13">
      <c r="C639" s="42"/>
    </row>
    <row r="640" spans="3:3" ht="13">
      <c r="C640" s="42"/>
    </row>
    <row r="641" spans="3:3" ht="13">
      <c r="C641" s="42"/>
    </row>
    <row r="642" spans="3:3" ht="13">
      <c r="C642" s="42"/>
    </row>
    <row r="643" spans="3:3" ht="13">
      <c r="C643" s="42"/>
    </row>
    <row r="644" spans="3:3" ht="13">
      <c r="C644" s="42"/>
    </row>
    <row r="645" spans="3:3" ht="13">
      <c r="C645" s="42"/>
    </row>
    <row r="646" spans="3:3" ht="13">
      <c r="C646" s="42"/>
    </row>
    <row r="647" spans="3:3" ht="13">
      <c r="C647" s="42"/>
    </row>
    <row r="648" spans="3:3" ht="13">
      <c r="C648" s="42"/>
    </row>
    <row r="649" spans="3:3" ht="13">
      <c r="C649" s="42"/>
    </row>
    <row r="650" spans="3:3" ht="13">
      <c r="C650" s="42"/>
    </row>
    <row r="651" spans="3:3" ht="13">
      <c r="C651" s="42"/>
    </row>
    <row r="652" spans="3:3" ht="13">
      <c r="C652" s="42"/>
    </row>
    <row r="653" spans="3:3" ht="13">
      <c r="C653" s="42"/>
    </row>
    <row r="654" spans="3:3" ht="13">
      <c r="C654" s="42"/>
    </row>
    <row r="655" spans="3:3" ht="13">
      <c r="C655" s="42"/>
    </row>
    <row r="656" spans="3:3" ht="13">
      <c r="C656" s="42"/>
    </row>
    <row r="657" spans="3:3" ht="13">
      <c r="C657" s="42"/>
    </row>
    <row r="658" spans="3:3" ht="13">
      <c r="C658" s="42"/>
    </row>
    <row r="659" spans="3:3" ht="13">
      <c r="C659" s="42"/>
    </row>
    <row r="660" spans="3:3" ht="13">
      <c r="C660" s="42"/>
    </row>
    <row r="661" spans="3:3" ht="13">
      <c r="C661" s="42"/>
    </row>
    <row r="662" spans="3:3" ht="13">
      <c r="C662" s="42"/>
    </row>
    <row r="663" spans="3:3" ht="13">
      <c r="C663" s="42"/>
    </row>
    <row r="664" spans="3:3" ht="13">
      <c r="C664" s="42"/>
    </row>
    <row r="665" spans="3:3" ht="13">
      <c r="C665" s="42"/>
    </row>
    <row r="666" spans="3:3" ht="13">
      <c r="C666" s="42"/>
    </row>
    <row r="667" spans="3:3" ht="13">
      <c r="C667" s="42"/>
    </row>
    <row r="668" spans="3:3" ht="13">
      <c r="C668" s="42"/>
    </row>
    <row r="669" spans="3:3" ht="13">
      <c r="C669" s="42"/>
    </row>
    <row r="670" spans="3:3" ht="13">
      <c r="C670" s="42"/>
    </row>
    <row r="671" spans="3:3" ht="13">
      <c r="C671" s="42"/>
    </row>
    <row r="672" spans="3:3" ht="13">
      <c r="C672" s="42"/>
    </row>
    <row r="673" spans="3:3" ht="13">
      <c r="C673" s="42"/>
    </row>
    <row r="674" spans="3:3" ht="13">
      <c r="C674" s="42"/>
    </row>
    <row r="675" spans="3:3" ht="13">
      <c r="C675" s="42"/>
    </row>
    <row r="676" spans="3:3" ht="13">
      <c r="C676" s="42"/>
    </row>
    <row r="677" spans="3:3" ht="13">
      <c r="C677" s="42"/>
    </row>
    <row r="678" spans="3:3" ht="13">
      <c r="C678" s="42"/>
    </row>
    <row r="679" spans="3:3" ht="13">
      <c r="C679" s="42"/>
    </row>
    <row r="680" spans="3:3" ht="13">
      <c r="C680" s="42"/>
    </row>
    <row r="681" spans="3:3" ht="13">
      <c r="C681" s="42"/>
    </row>
    <row r="682" spans="3:3" ht="13">
      <c r="C682" s="42"/>
    </row>
    <row r="683" spans="3:3" ht="13">
      <c r="C683" s="42"/>
    </row>
    <row r="684" spans="3:3" ht="13">
      <c r="C684" s="42"/>
    </row>
    <row r="685" spans="3:3" ht="13">
      <c r="C685" s="42"/>
    </row>
    <row r="686" spans="3:3" ht="13">
      <c r="C686" s="42"/>
    </row>
    <row r="687" spans="3:3" ht="13">
      <c r="C687" s="42"/>
    </row>
    <row r="688" spans="3:3" ht="13">
      <c r="C688" s="42"/>
    </row>
    <row r="689" spans="3:3" ht="13">
      <c r="C689" s="42"/>
    </row>
    <row r="690" spans="3:3" ht="13">
      <c r="C690" s="42"/>
    </row>
    <row r="691" spans="3:3" ht="13">
      <c r="C691" s="42"/>
    </row>
    <row r="692" spans="3:3" ht="13">
      <c r="C692" s="42"/>
    </row>
    <row r="693" spans="3:3" ht="13">
      <c r="C693" s="42"/>
    </row>
    <row r="694" spans="3:3" ht="13">
      <c r="C694" s="42"/>
    </row>
    <row r="695" spans="3:3" ht="13">
      <c r="C695" s="42"/>
    </row>
    <row r="696" spans="3:3" ht="13">
      <c r="C696" s="42"/>
    </row>
    <row r="697" spans="3:3" ht="13">
      <c r="C697" s="42"/>
    </row>
    <row r="698" spans="3:3" ht="13">
      <c r="C698" s="42"/>
    </row>
    <row r="699" spans="3:3" ht="13">
      <c r="C699" s="42"/>
    </row>
    <row r="700" spans="3:3" ht="13">
      <c r="C700" s="42"/>
    </row>
    <row r="701" spans="3:3" ht="13">
      <c r="C701" s="42"/>
    </row>
    <row r="702" spans="3:3" ht="13">
      <c r="C702" s="42"/>
    </row>
    <row r="703" spans="3:3" ht="13">
      <c r="C703" s="42"/>
    </row>
    <row r="704" spans="3:3" ht="13">
      <c r="C704" s="42"/>
    </row>
    <row r="705" spans="3:3" ht="13">
      <c r="C705" s="42"/>
    </row>
    <row r="706" spans="3:3" ht="13">
      <c r="C706" s="42"/>
    </row>
    <row r="707" spans="3:3" ht="13">
      <c r="C707" s="42"/>
    </row>
    <row r="708" spans="3:3" ht="13">
      <c r="C708" s="42"/>
    </row>
    <row r="709" spans="3:3" ht="13">
      <c r="C709" s="42"/>
    </row>
    <row r="710" spans="3:3" ht="13">
      <c r="C710" s="42"/>
    </row>
    <row r="711" spans="3:3" ht="13">
      <c r="C711" s="42"/>
    </row>
    <row r="712" spans="3:3" ht="13">
      <c r="C712" s="42"/>
    </row>
    <row r="713" spans="3:3" ht="13">
      <c r="C713" s="42"/>
    </row>
    <row r="714" spans="3:3" ht="13">
      <c r="C714" s="42"/>
    </row>
    <row r="715" spans="3:3" ht="13">
      <c r="C715" s="42"/>
    </row>
    <row r="716" spans="3:3" ht="13">
      <c r="C716" s="42"/>
    </row>
    <row r="717" spans="3:3" ht="13">
      <c r="C717" s="42"/>
    </row>
    <row r="718" spans="3:3" ht="13">
      <c r="C718" s="42"/>
    </row>
    <row r="719" spans="3:3" ht="13">
      <c r="C719" s="42"/>
    </row>
    <row r="720" spans="3:3" ht="13">
      <c r="C720" s="42"/>
    </row>
    <row r="721" spans="3:3" ht="13">
      <c r="C721" s="42"/>
    </row>
    <row r="722" spans="3:3" ht="13">
      <c r="C722" s="42"/>
    </row>
    <row r="723" spans="3:3" ht="13">
      <c r="C723" s="42"/>
    </row>
    <row r="724" spans="3:3" ht="13">
      <c r="C724" s="42"/>
    </row>
    <row r="725" spans="3:3" ht="13">
      <c r="C725" s="42"/>
    </row>
    <row r="726" spans="3:3" ht="13">
      <c r="C726" s="42"/>
    </row>
    <row r="727" spans="3:3" ht="13">
      <c r="C727" s="42"/>
    </row>
    <row r="728" spans="3:3" ht="13">
      <c r="C728" s="42"/>
    </row>
    <row r="729" spans="3:3" ht="13">
      <c r="C729" s="42"/>
    </row>
    <row r="730" spans="3:3" ht="13">
      <c r="C730" s="42"/>
    </row>
    <row r="731" spans="3:3" ht="13">
      <c r="C731" s="42"/>
    </row>
    <row r="732" spans="3:3" ht="13">
      <c r="C732" s="42"/>
    </row>
    <row r="733" spans="3:3" ht="13">
      <c r="C733" s="42"/>
    </row>
    <row r="734" spans="3:3" ht="13">
      <c r="C734" s="42"/>
    </row>
    <row r="735" spans="3:3" ht="13">
      <c r="C735" s="42"/>
    </row>
    <row r="736" spans="3:3" ht="13">
      <c r="C736" s="42"/>
    </row>
    <row r="737" spans="3:3" ht="13">
      <c r="C737" s="42"/>
    </row>
    <row r="738" spans="3:3" ht="13">
      <c r="C738" s="42"/>
    </row>
    <row r="739" spans="3:3" ht="13">
      <c r="C739" s="42"/>
    </row>
    <row r="740" spans="3:3" ht="13">
      <c r="C740" s="42"/>
    </row>
    <row r="741" spans="3:3" ht="13">
      <c r="C741" s="42"/>
    </row>
    <row r="742" spans="3:3" ht="13">
      <c r="C742" s="42"/>
    </row>
    <row r="743" spans="3:3" ht="13">
      <c r="C743" s="42"/>
    </row>
    <row r="744" spans="3:3" ht="13">
      <c r="C744" s="42"/>
    </row>
    <row r="745" spans="3:3" ht="13">
      <c r="C745" s="42"/>
    </row>
    <row r="746" spans="3:3" ht="13">
      <c r="C746" s="42"/>
    </row>
    <row r="747" spans="3:3" ht="13">
      <c r="C747" s="42"/>
    </row>
    <row r="748" spans="3:3" ht="13">
      <c r="C748" s="42"/>
    </row>
    <row r="749" spans="3:3" ht="13">
      <c r="C749" s="42"/>
    </row>
    <row r="750" spans="3:3" ht="13">
      <c r="C750" s="42"/>
    </row>
    <row r="751" spans="3:3" ht="13">
      <c r="C751" s="42"/>
    </row>
    <row r="752" spans="3:3" ht="13">
      <c r="C752" s="42"/>
    </row>
    <row r="753" spans="3:3" ht="13">
      <c r="C753" s="42"/>
    </row>
    <row r="754" spans="3:3" ht="13">
      <c r="C754" s="42"/>
    </row>
    <row r="755" spans="3:3" ht="13">
      <c r="C755" s="42"/>
    </row>
    <row r="756" spans="3:3" ht="13">
      <c r="C756" s="42"/>
    </row>
    <row r="757" spans="3:3" ht="13">
      <c r="C757" s="42"/>
    </row>
    <row r="758" spans="3:3" ht="13">
      <c r="C758" s="42"/>
    </row>
    <row r="759" spans="3:3" ht="13">
      <c r="C759" s="42"/>
    </row>
    <row r="760" spans="3:3" ht="13">
      <c r="C760" s="42"/>
    </row>
    <row r="761" spans="3:3" ht="13">
      <c r="C761" s="42"/>
    </row>
    <row r="762" spans="3:3" ht="13">
      <c r="C762" s="42"/>
    </row>
    <row r="763" spans="3:3" ht="13">
      <c r="C763" s="42"/>
    </row>
    <row r="764" spans="3:3" ht="13">
      <c r="C764" s="42"/>
    </row>
    <row r="765" spans="3:3" ht="13">
      <c r="C765" s="42"/>
    </row>
    <row r="766" spans="3:3" ht="13">
      <c r="C766" s="42"/>
    </row>
    <row r="767" spans="3:3" ht="13">
      <c r="C767" s="42"/>
    </row>
    <row r="768" spans="3:3" ht="13">
      <c r="C768" s="42"/>
    </row>
    <row r="769" spans="3:3" ht="13">
      <c r="C769" s="42"/>
    </row>
    <row r="770" spans="3:3" ht="13">
      <c r="C770" s="42"/>
    </row>
    <row r="771" spans="3:3" ht="13">
      <c r="C771" s="42"/>
    </row>
    <row r="772" spans="3:3" ht="13">
      <c r="C772" s="42"/>
    </row>
    <row r="773" spans="3:3" ht="13">
      <c r="C773" s="42"/>
    </row>
    <row r="774" spans="3:3" ht="13">
      <c r="C774" s="42"/>
    </row>
    <row r="775" spans="3:3" ht="13">
      <c r="C775" s="42"/>
    </row>
    <row r="776" spans="3:3" ht="13">
      <c r="C776" s="42"/>
    </row>
    <row r="777" spans="3:3" ht="13">
      <c r="C777" s="42"/>
    </row>
    <row r="778" spans="3:3" ht="13">
      <c r="C778" s="42"/>
    </row>
    <row r="779" spans="3:3" ht="13">
      <c r="C779" s="42"/>
    </row>
    <row r="780" spans="3:3" ht="13">
      <c r="C780" s="42"/>
    </row>
    <row r="781" spans="3:3" ht="13">
      <c r="C781" s="42"/>
    </row>
    <row r="782" spans="3:3" ht="13">
      <c r="C782" s="42"/>
    </row>
    <row r="783" spans="3:3" ht="13">
      <c r="C783" s="42"/>
    </row>
    <row r="784" spans="3:3" ht="13">
      <c r="C784" s="42"/>
    </row>
    <row r="785" spans="3:3" ht="13">
      <c r="C785" s="42"/>
    </row>
    <row r="786" spans="3:3" ht="13">
      <c r="C786" s="42"/>
    </row>
    <row r="787" spans="3:3" ht="13">
      <c r="C787" s="42"/>
    </row>
    <row r="788" spans="3:3" ht="13">
      <c r="C788" s="42"/>
    </row>
    <row r="789" spans="3:3" ht="13">
      <c r="C789" s="42"/>
    </row>
    <row r="790" spans="3:3" ht="13">
      <c r="C790" s="42"/>
    </row>
    <row r="791" spans="3:3" ht="13">
      <c r="C791" s="42"/>
    </row>
    <row r="792" spans="3:3" ht="13">
      <c r="C792" s="42"/>
    </row>
    <row r="793" spans="3:3" ht="13">
      <c r="C793" s="42"/>
    </row>
    <row r="794" spans="3:3" ht="13">
      <c r="C794" s="42"/>
    </row>
    <row r="795" spans="3:3" ht="13">
      <c r="C795" s="42"/>
    </row>
    <row r="796" spans="3:3" ht="13">
      <c r="C796" s="42"/>
    </row>
    <row r="797" spans="3:3" ht="13">
      <c r="C797" s="42"/>
    </row>
    <row r="798" spans="3:3" ht="13">
      <c r="C798" s="42"/>
    </row>
    <row r="799" spans="3:3" ht="13">
      <c r="C799" s="42"/>
    </row>
    <row r="800" spans="3:3" ht="13">
      <c r="C800" s="42"/>
    </row>
    <row r="801" spans="3:3" ht="13">
      <c r="C801" s="42"/>
    </row>
    <row r="802" spans="3:3" ht="13">
      <c r="C802" s="42"/>
    </row>
    <row r="803" spans="3:3" ht="13">
      <c r="C803" s="42"/>
    </row>
    <row r="804" spans="3:3" ht="13">
      <c r="C804" s="42"/>
    </row>
    <row r="805" spans="3:3" ht="13">
      <c r="C805" s="42"/>
    </row>
    <row r="806" spans="3:3" ht="13">
      <c r="C806" s="42"/>
    </row>
    <row r="807" spans="3:3" ht="13">
      <c r="C807" s="42"/>
    </row>
    <row r="808" spans="3:3" ht="13">
      <c r="C808" s="42"/>
    </row>
    <row r="809" spans="3:3" ht="13">
      <c r="C809" s="42"/>
    </row>
    <row r="810" spans="3:3" ht="13">
      <c r="C810" s="42"/>
    </row>
    <row r="811" spans="3:3" ht="13">
      <c r="C811" s="42"/>
    </row>
    <row r="812" spans="3:3" ht="13">
      <c r="C812" s="42"/>
    </row>
    <row r="813" spans="3:3" ht="13">
      <c r="C813" s="42"/>
    </row>
    <row r="814" spans="3:3" ht="13">
      <c r="C814" s="42"/>
    </row>
    <row r="815" spans="3:3" ht="13">
      <c r="C815" s="42"/>
    </row>
    <row r="816" spans="3:3" ht="13">
      <c r="C816" s="42"/>
    </row>
    <row r="817" spans="3:3" ht="13">
      <c r="C817" s="42"/>
    </row>
    <row r="818" spans="3:3" ht="13">
      <c r="C818" s="42"/>
    </row>
    <row r="819" spans="3:3" ht="13">
      <c r="C819" s="42"/>
    </row>
    <row r="820" spans="3:3" ht="13">
      <c r="C820" s="42"/>
    </row>
    <row r="821" spans="3:3" ht="13">
      <c r="C821" s="42"/>
    </row>
    <row r="822" spans="3:3" ht="13">
      <c r="C822" s="42"/>
    </row>
    <row r="823" spans="3:3" ht="13">
      <c r="C823" s="42"/>
    </row>
    <row r="824" spans="3:3" ht="13">
      <c r="C824" s="42"/>
    </row>
    <row r="825" spans="3:3" ht="13">
      <c r="C825" s="42"/>
    </row>
    <row r="826" spans="3:3" ht="13">
      <c r="C826" s="42"/>
    </row>
    <row r="827" spans="3:3" ht="13">
      <c r="C827" s="42"/>
    </row>
    <row r="828" spans="3:3" ht="13">
      <c r="C828" s="42"/>
    </row>
    <row r="829" spans="3:3" ht="13">
      <c r="C829" s="42"/>
    </row>
    <row r="830" spans="3:3" ht="13">
      <c r="C830" s="42"/>
    </row>
    <row r="831" spans="3:3" ht="13">
      <c r="C831" s="42"/>
    </row>
    <row r="832" spans="3:3" ht="13">
      <c r="C832" s="42"/>
    </row>
    <row r="833" spans="3:3" ht="13">
      <c r="C833" s="42"/>
    </row>
    <row r="834" spans="3:3" ht="13">
      <c r="C834" s="42"/>
    </row>
    <row r="835" spans="3:3" ht="13">
      <c r="C835" s="42"/>
    </row>
    <row r="836" spans="3:3" ht="13">
      <c r="C836" s="42"/>
    </row>
    <row r="837" spans="3:3" ht="13">
      <c r="C837" s="42"/>
    </row>
    <row r="838" spans="3:3" ht="13">
      <c r="C838" s="42"/>
    </row>
    <row r="839" spans="3:3" ht="13">
      <c r="C839" s="42"/>
    </row>
    <row r="840" spans="3:3" ht="13">
      <c r="C840" s="42"/>
    </row>
    <row r="841" spans="3:3" ht="13">
      <c r="C841" s="42"/>
    </row>
    <row r="842" spans="3:3" ht="13">
      <c r="C842" s="42"/>
    </row>
    <row r="843" spans="3:3" ht="13">
      <c r="C843" s="42"/>
    </row>
    <row r="844" spans="3:3" ht="13">
      <c r="C844" s="42"/>
    </row>
    <row r="845" spans="3:3" ht="13">
      <c r="C845" s="42"/>
    </row>
    <row r="846" spans="3:3" ht="13">
      <c r="C846" s="42"/>
    </row>
    <row r="847" spans="3:3" ht="13">
      <c r="C847" s="42"/>
    </row>
    <row r="848" spans="3:3" ht="13">
      <c r="C848" s="42"/>
    </row>
    <row r="849" spans="3:3" ht="13">
      <c r="C849" s="42"/>
    </row>
    <row r="850" spans="3:3" ht="13">
      <c r="C850" s="42"/>
    </row>
    <row r="851" spans="3:3" ht="13">
      <c r="C851" s="42"/>
    </row>
    <row r="852" spans="3:3" ht="13">
      <c r="C852" s="42"/>
    </row>
    <row r="853" spans="3:3" ht="13">
      <c r="C853" s="42"/>
    </row>
    <row r="854" spans="3:3" ht="13">
      <c r="C854" s="42"/>
    </row>
    <row r="855" spans="3:3" ht="13">
      <c r="C855" s="42"/>
    </row>
    <row r="856" spans="3:3" ht="13">
      <c r="C856" s="42"/>
    </row>
    <row r="857" spans="3:3" ht="13">
      <c r="C857" s="42"/>
    </row>
    <row r="858" spans="3:3" ht="13">
      <c r="C858" s="42"/>
    </row>
    <row r="859" spans="3:3" ht="13">
      <c r="C859" s="42"/>
    </row>
    <row r="860" spans="3:3" ht="13">
      <c r="C860" s="42"/>
    </row>
    <row r="861" spans="3:3" ht="13">
      <c r="C861" s="42"/>
    </row>
    <row r="862" spans="3:3" ht="13">
      <c r="C862" s="42"/>
    </row>
    <row r="863" spans="3:3" ht="13">
      <c r="C863" s="42"/>
    </row>
    <row r="864" spans="3:3" ht="13">
      <c r="C864" s="42"/>
    </row>
    <row r="865" spans="3:3" ht="13">
      <c r="C865" s="42"/>
    </row>
    <row r="866" spans="3:3" ht="13">
      <c r="C866" s="42"/>
    </row>
    <row r="867" spans="3:3" ht="13">
      <c r="C867" s="42"/>
    </row>
    <row r="868" spans="3:3" ht="13">
      <c r="C868" s="42"/>
    </row>
    <row r="869" spans="3:3" ht="13">
      <c r="C869" s="42"/>
    </row>
    <row r="870" spans="3:3" ht="13">
      <c r="C870" s="42"/>
    </row>
    <row r="871" spans="3:3" ht="13">
      <c r="C871" s="42"/>
    </row>
    <row r="872" spans="3:3" ht="13">
      <c r="C872" s="42"/>
    </row>
    <row r="873" spans="3:3" ht="13">
      <c r="C873" s="42"/>
    </row>
    <row r="874" spans="3:3" ht="13">
      <c r="C874" s="42"/>
    </row>
    <row r="875" spans="3:3" ht="13">
      <c r="C875" s="42"/>
    </row>
    <row r="876" spans="3:3" ht="13">
      <c r="C876" s="42"/>
    </row>
    <row r="877" spans="3:3" ht="13">
      <c r="C877" s="42"/>
    </row>
    <row r="878" spans="3:3" ht="13">
      <c r="C878" s="42"/>
    </row>
    <row r="879" spans="3:3" ht="13">
      <c r="C879" s="42"/>
    </row>
    <row r="880" spans="3:3" ht="13">
      <c r="C880" s="42"/>
    </row>
    <row r="881" spans="3:3" ht="13">
      <c r="C881" s="42"/>
    </row>
    <row r="882" spans="3:3" ht="13">
      <c r="C882" s="42"/>
    </row>
    <row r="883" spans="3:3" ht="13">
      <c r="C883" s="42"/>
    </row>
    <row r="884" spans="3:3" ht="13">
      <c r="C884" s="42"/>
    </row>
    <row r="885" spans="3:3" ht="13">
      <c r="C885" s="42"/>
    </row>
    <row r="886" spans="3:3" ht="13">
      <c r="C886" s="42"/>
    </row>
    <row r="887" spans="3:3" ht="13">
      <c r="C887" s="42"/>
    </row>
    <row r="888" spans="3:3" ht="13">
      <c r="C888" s="42"/>
    </row>
    <row r="889" spans="3:3" ht="13">
      <c r="C889" s="42"/>
    </row>
    <row r="890" spans="3:3" ht="13">
      <c r="C890" s="42"/>
    </row>
    <row r="891" spans="3:3" ht="13">
      <c r="C891" s="42"/>
    </row>
    <row r="892" spans="3:3" ht="13">
      <c r="C892" s="42"/>
    </row>
    <row r="893" spans="3:3" ht="13">
      <c r="C893" s="42"/>
    </row>
    <row r="894" spans="3:3" ht="13">
      <c r="C894" s="42"/>
    </row>
    <row r="895" spans="3:3" ht="13">
      <c r="C895" s="42"/>
    </row>
    <row r="896" spans="3:3" ht="13">
      <c r="C896" s="42"/>
    </row>
    <row r="897" spans="3:3" ht="13">
      <c r="C897" s="42"/>
    </row>
    <row r="898" spans="3:3" ht="13">
      <c r="C898" s="42"/>
    </row>
    <row r="899" spans="3:3" ht="13">
      <c r="C899" s="42"/>
    </row>
    <row r="900" spans="3:3" ht="13">
      <c r="C900" s="42"/>
    </row>
    <row r="901" spans="3:3" ht="13">
      <c r="C901" s="42"/>
    </row>
    <row r="902" spans="3:3" ht="13">
      <c r="C902" s="42"/>
    </row>
    <row r="903" spans="3:3" ht="13">
      <c r="C903" s="42"/>
    </row>
    <row r="904" spans="3:3" ht="13">
      <c r="C904" s="42"/>
    </row>
    <row r="905" spans="3:3" ht="13">
      <c r="C905" s="42"/>
    </row>
    <row r="906" spans="3:3" ht="13">
      <c r="C906" s="42"/>
    </row>
    <row r="907" spans="3:3" ht="13">
      <c r="C907" s="42"/>
    </row>
    <row r="908" spans="3:3" ht="13">
      <c r="C908" s="42"/>
    </row>
    <row r="909" spans="3:3" ht="13">
      <c r="C909" s="42"/>
    </row>
    <row r="910" spans="3:3" ht="13">
      <c r="C910" s="42"/>
    </row>
    <row r="911" spans="3:3" ht="13">
      <c r="C911" s="42"/>
    </row>
    <row r="912" spans="3:3" ht="13">
      <c r="C912" s="42"/>
    </row>
    <row r="913" spans="3:3" ht="13">
      <c r="C913" s="42"/>
    </row>
    <row r="914" spans="3:3" ht="13">
      <c r="C914" s="42"/>
    </row>
    <row r="915" spans="3:3" ht="13">
      <c r="C915" s="42"/>
    </row>
    <row r="916" spans="3:3" ht="13">
      <c r="C916" s="42"/>
    </row>
    <row r="917" spans="3:3" ht="13">
      <c r="C917" s="42"/>
    </row>
    <row r="918" spans="3:3" ht="13">
      <c r="C918" s="42"/>
    </row>
    <row r="919" spans="3:3" ht="13">
      <c r="C919" s="42"/>
    </row>
    <row r="920" spans="3:3" ht="13">
      <c r="C920" s="42"/>
    </row>
    <row r="921" spans="3:3" ht="13">
      <c r="C921" s="42"/>
    </row>
    <row r="922" spans="3:3" ht="13">
      <c r="C922" s="42"/>
    </row>
    <row r="923" spans="3:3" ht="13">
      <c r="C923" s="42"/>
    </row>
    <row r="924" spans="3:3" ht="13">
      <c r="C924" s="42"/>
    </row>
    <row r="925" spans="3:3" ht="13">
      <c r="C925" s="42"/>
    </row>
    <row r="926" spans="3:3" ht="13">
      <c r="C926" s="42"/>
    </row>
    <row r="927" spans="3:3" ht="13">
      <c r="C927" s="42"/>
    </row>
    <row r="928" spans="3:3" ht="13">
      <c r="C928" s="42"/>
    </row>
    <row r="929" spans="3:3" ht="13">
      <c r="C929" s="42"/>
    </row>
    <row r="930" spans="3:3" ht="13">
      <c r="C930" s="42"/>
    </row>
    <row r="931" spans="3:3" ht="13">
      <c r="C931" s="42"/>
    </row>
    <row r="932" spans="3:3" ht="13">
      <c r="C932" s="42"/>
    </row>
    <row r="933" spans="3:3" ht="13">
      <c r="C933" s="42"/>
    </row>
    <row r="934" spans="3:3" ht="13">
      <c r="C934" s="42"/>
    </row>
    <row r="935" spans="3:3" ht="13">
      <c r="C935" s="42"/>
    </row>
    <row r="936" spans="3:3" ht="13">
      <c r="C936" s="42"/>
    </row>
    <row r="937" spans="3:3" ht="13">
      <c r="C937" s="42"/>
    </row>
    <row r="938" spans="3:3" ht="13">
      <c r="C938" s="42"/>
    </row>
    <row r="939" spans="3:3" ht="13">
      <c r="C939" s="42"/>
    </row>
    <row r="940" spans="3:3" ht="13">
      <c r="C940" s="42"/>
    </row>
    <row r="941" spans="3:3" ht="13">
      <c r="C941" s="42"/>
    </row>
    <row r="942" spans="3:3" ht="13">
      <c r="C942" s="42"/>
    </row>
    <row r="943" spans="3:3" ht="13">
      <c r="C943" s="42"/>
    </row>
    <row r="944" spans="3:3" ht="13">
      <c r="C944" s="42"/>
    </row>
    <row r="945" spans="3:3" ht="13">
      <c r="C945" s="42"/>
    </row>
    <row r="946" spans="3:3" ht="13">
      <c r="C946" s="42"/>
    </row>
    <row r="947" spans="3:3" ht="13">
      <c r="C947" s="42"/>
    </row>
    <row r="948" spans="3:3" ht="13">
      <c r="C948" s="42"/>
    </row>
    <row r="949" spans="3:3" ht="13">
      <c r="C949" s="42"/>
    </row>
    <row r="950" spans="3:3" ht="13">
      <c r="C950" s="42"/>
    </row>
    <row r="951" spans="3:3" ht="13">
      <c r="C951" s="42"/>
    </row>
    <row r="952" spans="3:3" ht="13">
      <c r="C952" s="42"/>
    </row>
    <row r="953" spans="3:3" ht="13">
      <c r="C953" s="42"/>
    </row>
    <row r="954" spans="3:3" ht="13">
      <c r="C954" s="42"/>
    </row>
    <row r="955" spans="3:3" ht="13">
      <c r="C955" s="42"/>
    </row>
    <row r="956" spans="3:3" ht="13">
      <c r="C956" s="42"/>
    </row>
    <row r="957" spans="3:3" ht="13">
      <c r="C957" s="42"/>
    </row>
    <row r="958" spans="3:3" ht="13">
      <c r="C958" s="42"/>
    </row>
    <row r="959" spans="3:3" ht="13">
      <c r="C959" s="42"/>
    </row>
    <row r="960" spans="3:3" ht="13">
      <c r="C960" s="42"/>
    </row>
    <row r="961" spans="3:3" ht="13">
      <c r="C961" s="42"/>
    </row>
    <row r="962" spans="3:3" ht="13">
      <c r="C962" s="42"/>
    </row>
    <row r="963" spans="3:3" ht="13">
      <c r="C963" s="42"/>
    </row>
    <row r="964" spans="3:3" ht="13">
      <c r="C964" s="42"/>
    </row>
    <row r="965" spans="3:3" ht="13">
      <c r="C965" s="42"/>
    </row>
    <row r="966" spans="3:3" ht="13">
      <c r="C966" s="42"/>
    </row>
    <row r="967" spans="3:3" ht="13">
      <c r="C967" s="42"/>
    </row>
    <row r="968" spans="3:3" ht="13">
      <c r="C968" s="42"/>
    </row>
    <row r="969" spans="3:3" ht="13">
      <c r="C969" s="42"/>
    </row>
    <row r="970" spans="3:3" ht="13">
      <c r="C970" s="42"/>
    </row>
    <row r="971" spans="3:3" ht="13">
      <c r="C971" s="42"/>
    </row>
    <row r="972" spans="3:3" ht="13">
      <c r="C972" s="42"/>
    </row>
    <row r="973" spans="3:3" ht="13">
      <c r="C973" s="42"/>
    </row>
    <row r="974" spans="3:3" ht="13">
      <c r="C974" s="42"/>
    </row>
    <row r="975" spans="3:3" ht="13">
      <c r="C975" s="42"/>
    </row>
    <row r="976" spans="3:3" ht="13">
      <c r="C976" s="42"/>
    </row>
    <row r="977" spans="3:3" ht="13">
      <c r="C977" s="42"/>
    </row>
    <row r="978" spans="3:3" ht="13">
      <c r="C978" s="42"/>
    </row>
    <row r="979" spans="3:3" ht="13">
      <c r="C979" s="42"/>
    </row>
    <row r="980" spans="3:3" ht="13">
      <c r="C980" s="42"/>
    </row>
    <row r="981" spans="3:3" ht="13">
      <c r="C981" s="42"/>
    </row>
    <row r="982" spans="3:3" ht="13">
      <c r="C982" s="42"/>
    </row>
    <row r="983" spans="3:3" ht="13">
      <c r="C983" s="42"/>
    </row>
    <row r="984" spans="3:3" ht="13">
      <c r="C984" s="42"/>
    </row>
    <row r="985" spans="3:3" ht="13">
      <c r="C985" s="42"/>
    </row>
    <row r="986" spans="3:3" ht="13">
      <c r="C986" s="42"/>
    </row>
    <row r="987" spans="3:3" ht="13">
      <c r="C987" s="42"/>
    </row>
    <row r="988" spans="3:3" ht="13">
      <c r="C988" s="42"/>
    </row>
    <row r="989" spans="3:3" ht="13">
      <c r="C989" s="42"/>
    </row>
    <row r="990" spans="3:3" ht="13">
      <c r="C990" s="42"/>
    </row>
    <row r="991" spans="3:3" ht="13">
      <c r="C991" s="42"/>
    </row>
    <row r="992" spans="3:3" ht="13">
      <c r="C992" s="42"/>
    </row>
    <row r="993" spans="3:3" ht="13">
      <c r="C993" s="42"/>
    </row>
    <row r="994" spans="3:3" ht="13">
      <c r="C994" s="42"/>
    </row>
    <row r="995" spans="3:3" ht="13">
      <c r="C995" s="42"/>
    </row>
    <row r="996" spans="3:3" ht="13">
      <c r="C996" s="42"/>
    </row>
    <row r="997" spans="3:3" ht="13">
      <c r="C997" s="42"/>
    </row>
    <row r="998" spans="3:3" ht="13">
      <c r="C998" s="42"/>
    </row>
    <row r="999" spans="3:3" ht="13">
      <c r="C999" s="42"/>
    </row>
    <row r="1000" spans="3:3" ht="13">
      <c r="C1000" s="42"/>
    </row>
    <row r="1001" spans="3:3" ht="13">
      <c r="C1001" s="42"/>
    </row>
  </sheetData>
  <pageMargins left="0.7" right="0.7" top="0.75" bottom="0.75" header="0.3" footer="0.3"/>
  <pageSetup paperSize="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CONTACTS BILLING</vt:lpstr>
      <vt:lpstr>CHECKLIST</vt:lpstr>
      <vt:lpstr>POWER</vt:lpstr>
      <vt:lpstr>ESTIMATE</vt:lpstr>
      <vt:lpstr>CREW SCHEDULE</vt:lpstr>
      <vt:lpstr>MGMT SCHEDULE</vt:lpstr>
      <vt:lpstr>BUDGET</vt:lpstr>
      <vt:lpstr>TOPLINE SCHEDULE</vt:lpstr>
      <vt:lpstr>MASTER SCHEDULE</vt:lpstr>
      <vt:lpstr>PRODUCTION SCHEDULE</vt:lpstr>
      <vt:lpstr>TRANSPORT SCHEDULE</vt:lpstr>
      <vt:lpstr>MAJOR STRUCTURES</vt:lpstr>
      <vt:lpstr>FENCING</vt:lpstr>
      <vt:lpstr>FURNITURE DISTRO</vt:lpstr>
      <vt:lpstr>TOILET RATIO CALC</vt:lpstr>
      <vt:lpstr>SITE MAP</vt:lpstr>
      <vt:lpstr>Criteria</vt:lpstr>
      <vt:lpstr>ESTIMATE!Print_Area</vt:lpstr>
      <vt:lpstr>Criteria!TYPE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Bailey</cp:lastModifiedBy>
  <cp:lastPrinted>2026-06-03T12:45:27Z</cp:lastPrinted>
  <dcterms:created xsi:type="dcterms:W3CDTF">2026-06-02T13:57:07Z</dcterms:created>
  <dcterms:modified xsi:type="dcterms:W3CDTF">2026-06-06T11:54:34Z</dcterms:modified>
</cp:coreProperties>
</file>